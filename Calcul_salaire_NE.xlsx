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Divers\projet_horaire\"/>
    </mc:Choice>
  </mc:AlternateContent>
  <xr:revisionPtr revIDLastSave="0" documentId="13_ncr:1_{42EADAE1-1163-4019-8325-A886106BF199}" xr6:coauthVersionLast="47" xr6:coauthVersionMax="47" xr10:uidLastSave="{00000000-0000-0000-0000-000000000000}"/>
  <bookViews>
    <workbookView xWindow="5745" yWindow="2130" windowWidth="17280" windowHeight="10005" xr2:uid="{00000000-000D-0000-FFFF-FFFF00000000}"/>
  </bookViews>
  <sheets>
    <sheet name="Feuil1" sheetId="1" r:id="rId1"/>
    <sheet name="Feuil2" sheetId="2" r:id="rId2"/>
    <sheet name="Feuil3" sheetId="3" r:id="rId3"/>
    <sheet name="Feuil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C53" i="1" a="1"/>
  <c r="C53" i="1" s="1"/>
  <c r="B51" i="1"/>
  <c r="B50" i="1"/>
  <c r="B49" i="1"/>
  <c r="B48" i="1"/>
  <c r="G46" i="1"/>
  <c r="F45" i="1"/>
  <c r="F44" i="1"/>
  <c r="G45" i="1" s="1"/>
  <c r="H45" i="1" s="1"/>
  <c r="C43" i="1" s="1"/>
  <c r="B45" i="1" s="1"/>
  <c r="B46" i="1" s="1"/>
  <c r="C42" i="1"/>
  <c r="C41" i="1"/>
  <c r="B30" i="1"/>
  <c r="G27" i="1"/>
  <c r="F26" i="1"/>
  <c r="F25" i="1"/>
  <c r="G26" i="1" s="1"/>
  <c r="H26" i="1" s="1"/>
  <c r="C24" i="1" s="1"/>
  <c r="B26" i="1" s="1"/>
  <c r="C23" i="1"/>
  <c r="C22" i="1"/>
  <c r="F7" i="1"/>
  <c r="C3" i="1"/>
  <c r="G8" i="1"/>
  <c r="C4" i="1"/>
  <c r="B13" i="1" s="1"/>
  <c r="B53" i="1" l="1"/>
  <c r="B54" i="1"/>
  <c r="C55" i="1" s="1"/>
  <c r="B29" i="1"/>
  <c r="B31" i="1"/>
  <c r="B32" i="1"/>
  <c r="B27" i="1"/>
  <c r="C34" i="1" s="1" a="1"/>
  <c r="C34" i="1" s="1"/>
  <c r="B12" i="1"/>
  <c r="B11" i="1"/>
  <c r="G7" i="1"/>
  <c r="H7" i="1" s="1"/>
  <c r="C5" i="1" s="1"/>
  <c r="B7" i="1" s="1"/>
  <c r="B10" i="1"/>
  <c r="B34" i="1" l="1"/>
  <c r="B35" i="1" s="1"/>
  <c r="C36" i="1" s="1"/>
  <c r="B8" i="1"/>
  <c r="C15" i="1" s="1" a="1"/>
  <c r="C15" i="1" s="1"/>
  <c r="B15" i="1" s="1"/>
  <c r="B16" i="1" s="1"/>
  <c r="C1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<sst xmlns="http://schemas.openxmlformats.org/spreadsheetml/2006/main" count="78" uniqueCount="28">
  <si>
    <t>Salaire mensuel</t>
  </si>
  <si>
    <t>(Salaire mensuel * 13 + particip lamal * 12) /  [(262 jours trav. – 25 jours droit vac – 9 Jours fériés) * (40 H.dues hebdo / 5)]</t>
  </si>
  <si>
    <t>Tx horaire brut</t>
  </si>
  <si>
    <t>Participstion Lamal</t>
  </si>
  <si>
    <t>Nombre d'h RHT</t>
  </si>
  <si>
    <t>Tx horaire RHT</t>
  </si>
  <si>
    <t>% de RHT</t>
  </si>
  <si>
    <t>Total de déduction  RHT</t>
  </si>
  <si>
    <t>Salaire avec RHT</t>
  </si>
  <si>
    <t>AVS</t>
  </si>
  <si>
    <t>LAA, assurance accident</t>
  </si>
  <si>
    <t>Assurance chomage</t>
  </si>
  <si>
    <t>Assurance perte de gain</t>
  </si>
  <si>
    <t>LPP</t>
  </si>
  <si>
    <t>Impot à la source</t>
  </si>
  <si>
    <t>TOTAL des retenues hors RHT</t>
  </si>
  <si>
    <t>TOTAL NET</t>
  </si>
  <si>
    <t>Calcul taux horaire RHT</t>
  </si>
  <si>
    <t>Particip Lamal</t>
  </si>
  <si>
    <t>Nombre de jours pris en compte</t>
  </si>
  <si>
    <t>Nombre d'heure hebdo</t>
  </si>
  <si>
    <t>Taux horaire RHT brut</t>
  </si>
  <si>
    <t>TOTAL avec Lamal</t>
  </si>
  <si>
    <t>Fixe</t>
  </si>
  <si>
    <t>Canton de Berne</t>
  </si>
  <si>
    <t>Canton de Neuchatel</t>
  </si>
  <si>
    <t>Canton de Vaud</t>
  </si>
  <si>
    <t>Salaire annuel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</si>
</sst>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%"/>
    <numFmt numFmtId="165" formatCode="0.000"/>
    <numFmt numFmtId="166" formatCode="General\%"/>
    <numFmt numFmtId="167" formatCode="#,##0\ \-"/>
    <numFmt numFmtId="168" formatCode="0.00\ 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name val="Arial"/>
      <family val="2"/>
    </font>
    <font>
      <sz val="7"/>
      <color rgb="FF000000"/>
      <name val="Arial"/>
      <family val="2"/>
    </font>
    <font>
      <sz val="7.5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2" borderId="2" xfId="0" applyFont="1" applyFill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4" fontId="2" fillId="2" borderId="2" xfId="0" applyNumberFormat="1" applyFont="1" applyFill="1" applyBorder="1" applyAlignment="1">
      <alignment vertical="top" wrapText="1"/>
    </xf>
    <xf numFmtId="4" fontId="3" fillId="2" borderId="2" xfId="0" applyNumberFormat="1" applyFont="1" applyFill="1" applyBorder="1" applyAlignment="1">
      <alignment horizontal="right" vertical="top"/>
    </xf>
    <xf numFmtId="4" fontId="2" fillId="0" borderId="1" xfId="0" applyNumberFormat="1" applyFont="1" applyBorder="1" applyAlignment="1">
      <alignment vertical="top" wrapText="1"/>
    </xf>
    <xf numFmtId="4" fontId="3" fillId="0" borderId="1" xfId="0" applyNumberFormat="1" applyFont="1" applyBorder="1" applyAlignment="1">
      <alignment horizontal="right" vertical="top"/>
    </xf>
    <xf numFmtId="4" fontId="2" fillId="2" borderId="1" xfId="0" applyNumberFormat="1" applyFont="1" applyFill="1" applyBorder="1" applyAlignment="1">
      <alignment vertical="top" wrapText="1"/>
    </xf>
    <xf numFmtId="4" fontId="3" fillId="2" borderId="1" xfId="0" applyNumberFormat="1" applyFont="1" applyFill="1" applyBorder="1" applyAlignment="1">
      <alignment horizontal="right" vertical="top"/>
    </xf>
    <xf numFmtId="4" fontId="0" fillId="0" borderId="0" xfId="0" applyNumberFormat="1"/>
    <xf numFmtId="167" fontId="4" fillId="0" borderId="3" xfId="0" applyNumberFormat="1" applyFont="1" applyBorder="1"/>
    <xf numFmtId="3" fontId="4" fillId="0" borderId="0" xfId="0" applyNumberFormat="1" applyFont="1" applyAlignment="1">
      <alignment horizontal="left"/>
    </xf>
    <xf numFmtId="168" fontId="4" fillId="0" borderId="4" xfId="0" applyNumberFormat="1" applyFont="1" applyBorder="1"/>
    <xf numFmtId="167" fontId="4" fillId="0" borderId="5" xfId="0" applyNumberFormat="1" applyFont="1" applyBorder="1"/>
    <xf numFmtId="3" fontId="4" fillId="0" borderId="6" xfId="0" applyNumberFormat="1" applyFont="1" applyBorder="1" applyAlignment="1">
      <alignment horizontal="left"/>
    </xf>
    <xf numFmtId="168" fontId="4" fillId="0" borderId="7" xfId="0" applyNumberFormat="1" applyFont="1" applyBorder="1"/>
    <xf numFmtId="0" fontId="0" fillId="3" borderId="0" xfId="0" applyFill="1"/>
    <xf numFmtId="2" fontId="0" fillId="3" borderId="0" xfId="0" applyNumberFormat="1" applyFill="1"/>
    <xf numFmtId="165" fontId="0" fillId="3" borderId="0" xfId="0" applyNumberFormat="1" applyFill="1"/>
    <xf numFmtId="164" fontId="0" fillId="3" borderId="0" xfId="1" applyNumberFormat="1" applyFont="1" applyFill="1"/>
    <xf numFmtId="0" fontId="0" fillId="3" borderId="0" xfId="1" applyNumberFormat="1" applyFont="1" applyFill="1" applyAlignment="1">
      <alignment horizontal="right"/>
    </xf>
    <xf numFmtId="166" fontId="0" fillId="3" borderId="0" xfId="1" applyNumberFormat="1" applyFont="1" applyFill="1"/>
    <xf numFmtId="0" fontId="0" fillId="3" borderId="0" xfId="1" applyNumberFormat="1" applyFont="1" applyFill="1"/>
    <xf numFmtId="0" fontId="0" fillId="4" borderId="0" xfId="0" applyFill="1"/>
    <xf numFmtId="2" fontId="0" fillId="4" borderId="0" xfId="0" applyNumberFormat="1" applyFill="1"/>
    <xf numFmtId="165" fontId="0" fillId="4" borderId="0" xfId="0" applyNumberFormat="1" applyFill="1"/>
    <xf numFmtId="164" fontId="0" fillId="4" borderId="0" xfId="1" applyNumberFormat="1" applyFont="1" applyFill="1"/>
    <xf numFmtId="0" fontId="0" fillId="4" borderId="0" xfId="1" applyNumberFormat="1" applyFont="1" applyFill="1" applyAlignment="1">
      <alignment horizontal="right"/>
    </xf>
    <xf numFmtId="166" fontId="0" fillId="4" borderId="0" xfId="1" applyNumberFormat="1" applyFont="1" applyFill="1"/>
    <xf numFmtId="0" fontId="0" fillId="4" borderId="0" xfId="1" applyNumberFormat="1" applyFont="1" applyFill="1"/>
    <xf numFmtId="0" fontId="0" fillId="5" borderId="0" xfId="0" applyFill="1"/>
    <xf numFmtId="2" fontId="0" fillId="5" borderId="0" xfId="0" applyNumberFormat="1" applyFill="1"/>
    <xf numFmtId="165" fontId="0" fillId="5" borderId="0" xfId="0" applyNumberFormat="1" applyFill="1"/>
    <xf numFmtId="164" fontId="0" fillId="5" borderId="0" xfId="1" applyNumberFormat="1" applyFont="1" applyFill="1"/>
    <xf numFmtId="0" fontId="0" fillId="5" borderId="0" xfId="1" applyNumberFormat="1" applyFont="1" applyFill="1" applyAlignment="1">
      <alignment horizontal="right"/>
    </xf>
    <xf numFmtId="166" fontId="0" fillId="5" borderId="0" xfId="1" applyNumberFormat="1" applyFont="1" applyFill="1"/>
    <xf numFmtId="0" fontId="0" fillId="5" borderId="0" xfId="1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1" max="1" width="26.85546875" customWidth="1"/>
    <col min="2" max="2" width="10.85546875" customWidth="1"/>
    <col min="3" max="3" width="15.85546875" bestFit="1" customWidth="1"/>
    <col min="4" max="4" width="16.42578125" customWidth="1"/>
    <col min="5" max="5" width="30.140625" customWidth="1"/>
  </cols>
  <sheetData>
    <row r="1" spans="1:17" x14ac:dyDescent="0.25">
      <c r="A1" s="17" t="s">
        <v>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/>
      <c r="B2" s="17"/>
      <c r="C2" s="17" t="s">
        <v>2</v>
      </c>
      <c r="D2" s="17"/>
      <c r="E2" s="17"/>
      <c r="F2" s="17" t="s">
        <v>17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7" t="s">
        <v>0</v>
      </c>
      <c r="B3" s="17">
        <v>6623</v>
      </c>
      <c r="C3" s="18">
        <f>B3/173.333</f>
        <v>38.20968886478628</v>
      </c>
      <c r="D3" s="17"/>
      <c r="E3" s="17"/>
      <c r="F3" s="17" t="s">
        <v>1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x14ac:dyDescent="0.25">
      <c r="A4" s="17" t="s">
        <v>3</v>
      </c>
      <c r="B4" s="17">
        <v>195</v>
      </c>
      <c r="C4" s="17">
        <f>B3+B4</f>
        <v>6818</v>
      </c>
      <c r="D4" s="17" t="s">
        <v>22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25">
      <c r="A5" s="17" t="s">
        <v>4</v>
      </c>
      <c r="B5" s="17">
        <v>66.7</v>
      </c>
      <c r="C5" s="18">
        <f>H7</f>
        <v>48.482572609558481</v>
      </c>
      <c r="D5" s="17" t="s">
        <v>5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x14ac:dyDescent="0.25">
      <c r="A6" s="17" t="s">
        <v>6</v>
      </c>
      <c r="B6" s="17">
        <v>20</v>
      </c>
      <c r="C6" s="18"/>
      <c r="D6" s="17"/>
      <c r="E6" s="17" t="s">
        <v>27</v>
      </c>
      <c r="F6" s="17">
        <f>B3*13</f>
        <v>86099</v>
      </c>
      <c r="G6" s="17"/>
      <c r="H6" s="17" t="s">
        <v>21</v>
      </c>
      <c r="I6" s="17"/>
      <c r="J6" s="17"/>
      <c r="K6" s="17"/>
      <c r="L6" s="17"/>
      <c r="M6" s="17"/>
      <c r="N6" s="17"/>
      <c r="O6" s="17"/>
      <c r="P6" s="17"/>
      <c r="Q6" s="17"/>
    </row>
    <row r="7" spans="1:17" x14ac:dyDescent="0.25">
      <c r="A7" s="17" t="s">
        <v>7</v>
      </c>
      <c r="B7" s="18">
        <f>((B5*C5)*B6)/100</f>
        <v>646.75751861151014</v>
      </c>
      <c r="C7" s="17"/>
      <c r="D7" s="17"/>
      <c r="E7" s="17" t="s">
        <v>18</v>
      </c>
      <c r="F7" s="17">
        <f>B4*12</f>
        <v>2340</v>
      </c>
      <c r="G7" s="17">
        <f>F6+F7</f>
        <v>88439</v>
      </c>
      <c r="H7" s="18">
        <f>G7/G8</f>
        <v>48.482572609558481</v>
      </c>
      <c r="I7" s="17"/>
      <c r="J7" s="17"/>
      <c r="K7" s="17"/>
      <c r="L7" s="17"/>
      <c r="M7" s="17"/>
      <c r="N7" s="17"/>
      <c r="O7" s="17"/>
      <c r="P7" s="17"/>
      <c r="Q7" s="17"/>
    </row>
    <row r="8" spans="1:17" x14ac:dyDescent="0.25">
      <c r="A8" s="17" t="s">
        <v>8</v>
      </c>
      <c r="B8" s="18">
        <f>C4-B7</f>
        <v>6171.24248138849</v>
      </c>
      <c r="C8" s="17"/>
      <c r="D8" s="17"/>
      <c r="E8" s="17" t="s">
        <v>19</v>
      </c>
      <c r="F8" s="17">
        <v>223</v>
      </c>
      <c r="G8" s="17">
        <f>F8*F9</f>
        <v>1824.1399999999999</v>
      </c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17"/>
      <c r="B9" s="17"/>
      <c r="C9" s="17"/>
      <c r="D9" s="17"/>
      <c r="E9" s="17" t="s">
        <v>20</v>
      </c>
      <c r="F9" s="19">
        <v>8.18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 spans="1:17" x14ac:dyDescent="0.25">
      <c r="A10" s="17" t="s">
        <v>9</v>
      </c>
      <c r="B10" s="18">
        <f>$C$4*$C10</f>
        <v>361.35399999999998</v>
      </c>
      <c r="C10" s="20">
        <v>5.2999999999999999E-2</v>
      </c>
      <c r="D10" s="18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17" t="s">
        <v>10</v>
      </c>
      <c r="B11" s="18">
        <f t="shared" ref="B11:B13" si="0">$C$4*$C11</f>
        <v>57.953000000000003</v>
      </c>
      <c r="C11" s="20">
        <v>8.5000000000000006E-3</v>
      </c>
      <c r="D11" s="18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spans="1:17" x14ac:dyDescent="0.25">
      <c r="A12" s="17" t="s">
        <v>11</v>
      </c>
      <c r="B12" s="18">
        <f t="shared" si="0"/>
        <v>74.99799999999999</v>
      </c>
      <c r="C12" s="20">
        <v>1.0999999999999999E-2</v>
      </c>
      <c r="D12" s="18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17" t="s">
        <v>12</v>
      </c>
      <c r="B13" s="18">
        <f t="shared" si="0"/>
        <v>72.816240000000008</v>
      </c>
      <c r="C13" s="20">
        <v>1.068E-2</v>
      </c>
      <c r="D13" s="18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</row>
    <row r="14" spans="1:17" x14ac:dyDescent="0.25">
      <c r="A14" s="17" t="s">
        <v>13</v>
      </c>
      <c r="B14" s="17">
        <v>230.45</v>
      </c>
      <c r="C14" s="21" t="s">
        <v>23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A15" s="17" t="s">
        <v>14</v>
      </c>
      <c r="B15" s="18">
        <f>B8*(C15/100)</f>
        <v>825.09511976164106</v>
      </c>
      <c r="C15" s="22" cm="1">
        <f t="array" ref="C15">IF(
  SUMPRODUCT((Feuil1!$B$8&gt;=Feuil2!$A$1:$A$300)*(Feuil1!$B$8&lt;=Feuil2!$B$1:$B$300)*Feuil2!$C$1:$C$300)=0,
  "Pas de match",
  IF(
    SUMPRODUCT((Feuil1!$B$8&gt;=Feuil2!$A$1:$A$300)*(Feuil1!$B$8&lt;=Feuil2!$B$1:$B$300)*Feuil2!$C$1:$C$300)&lt;=1,
    SUMPRODUCT((Feuil1!$B$8&gt;=Feuil2!$A$1:$A$300)*(Feuil1!$B$8&lt;=Feuil2!$B$1:$B$300)*Feuil2!$C$1:$C$300)*100,
    SUMPRODUCT((Feuil1!$B$8&gt;=Feuil2!$A$1:$A$300)*(Feuil1!$B$8&lt;=Feuil2!$B$1:$B$300)*Feuil2!$C$1:$C$300)
  )
)</f>
        <v>13.37</v>
      </c>
      <c r="D15" s="18"/>
      <c r="E15" s="23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 spans="1:17" x14ac:dyDescent="0.25">
      <c r="A16" s="17" t="s">
        <v>15</v>
      </c>
      <c r="B16" s="18">
        <f>SUM(B10:B15)</f>
        <v>1622.6663597616412</v>
      </c>
      <c r="C16" s="20"/>
      <c r="D16" s="18"/>
      <c r="E16" s="17"/>
      <c r="F16" s="18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  <row r="17" spans="1:17" x14ac:dyDescent="0.25">
      <c r="A17" s="17"/>
      <c r="B17" s="17" t="s">
        <v>16</v>
      </c>
      <c r="C17" s="18">
        <f>B8-B16</f>
        <v>4548.5761216268493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</row>
    <row r="20" spans="1:17" x14ac:dyDescent="0.25">
      <c r="A20" s="24" t="s">
        <v>24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spans="1:17" x14ac:dyDescent="0.25">
      <c r="A21" s="24"/>
      <c r="B21" s="24"/>
      <c r="C21" s="24" t="s">
        <v>2</v>
      </c>
      <c r="D21" s="24"/>
      <c r="E21" s="24"/>
      <c r="F21" s="24" t="s">
        <v>17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 spans="1:17" x14ac:dyDescent="0.25">
      <c r="A22" s="24" t="s">
        <v>0</v>
      </c>
      <c r="B22" s="24">
        <v>6623</v>
      </c>
      <c r="C22" s="25">
        <f>B22/173.333</f>
        <v>38.20968886478628</v>
      </c>
      <c r="D22" s="24"/>
      <c r="E22" s="24"/>
      <c r="F22" s="24" t="s">
        <v>1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1:17" x14ac:dyDescent="0.25">
      <c r="A23" s="24" t="s">
        <v>3</v>
      </c>
      <c r="B23" s="24">
        <v>195</v>
      </c>
      <c r="C23" s="24">
        <f>B22+B23</f>
        <v>6818</v>
      </c>
      <c r="D23" s="24" t="s">
        <v>22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</row>
    <row r="24" spans="1:17" x14ac:dyDescent="0.25">
      <c r="A24" s="24" t="s">
        <v>4</v>
      </c>
      <c r="B24" s="24">
        <v>72.03</v>
      </c>
      <c r="C24" s="25">
        <f>H26</f>
        <v>48.482572609558481</v>
      </c>
      <c r="D24" s="24" t="s">
        <v>5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</row>
    <row r="25" spans="1:17" x14ac:dyDescent="0.25">
      <c r="A25" s="24" t="s">
        <v>6</v>
      </c>
      <c r="B25" s="24">
        <v>20</v>
      </c>
      <c r="C25" s="25"/>
      <c r="D25" s="24"/>
      <c r="E25" s="24" t="s">
        <v>0</v>
      </c>
      <c r="F25" s="24">
        <f>B22*13</f>
        <v>86099</v>
      </c>
      <c r="G25" s="24"/>
      <c r="H25" s="24" t="s">
        <v>21</v>
      </c>
      <c r="I25" s="24"/>
      <c r="J25" s="24"/>
      <c r="K25" s="24"/>
      <c r="L25" s="24"/>
      <c r="M25" s="24"/>
      <c r="N25" s="24"/>
      <c r="O25" s="24"/>
      <c r="P25" s="24"/>
      <c r="Q25" s="24"/>
    </row>
    <row r="26" spans="1:17" x14ac:dyDescent="0.25">
      <c r="A26" s="24" t="s">
        <v>7</v>
      </c>
      <c r="B26" s="25">
        <f>((B24*C24)*B25)/100</f>
        <v>698.4399410132994</v>
      </c>
      <c r="C26" s="24"/>
      <c r="D26" s="24"/>
      <c r="E26" s="24" t="s">
        <v>18</v>
      </c>
      <c r="F26" s="24">
        <f>B23*12</f>
        <v>2340</v>
      </c>
      <c r="G26" s="24">
        <f>F25+F26</f>
        <v>88439</v>
      </c>
      <c r="H26" s="25">
        <f>G26/G27</f>
        <v>48.482572609558481</v>
      </c>
      <c r="I26" s="24"/>
      <c r="J26" s="24"/>
      <c r="K26" s="24"/>
      <c r="L26" s="24"/>
      <c r="M26" s="24"/>
      <c r="N26" s="24"/>
      <c r="O26" s="24"/>
      <c r="P26" s="24"/>
      <c r="Q26" s="24"/>
    </row>
    <row r="27" spans="1:17" x14ac:dyDescent="0.25">
      <c r="A27" s="24" t="s">
        <v>8</v>
      </c>
      <c r="B27" s="25">
        <f>C23-B26</f>
        <v>6119.5600589867008</v>
      </c>
      <c r="C27" s="24"/>
      <c r="D27" s="24"/>
      <c r="E27" s="24" t="s">
        <v>19</v>
      </c>
      <c r="F27" s="24">
        <v>223</v>
      </c>
      <c r="G27" s="24">
        <f>F27*F28</f>
        <v>1824.1399999999999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</row>
    <row r="28" spans="1:17" x14ac:dyDescent="0.25">
      <c r="A28" s="24"/>
      <c r="B28" s="24"/>
      <c r="C28" s="24"/>
      <c r="D28" s="24"/>
      <c r="E28" s="24" t="s">
        <v>20</v>
      </c>
      <c r="F28" s="26">
        <v>8.18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</row>
    <row r="29" spans="1:17" x14ac:dyDescent="0.25">
      <c r="A29" s="24" t="s">
        <v>9</v>
      </c>
      <c r="B29" s="25">
        <f>$C$4*$C29</f>
        <v>361.35399999999998</v>
      </c>
      <c r="C29" s="27">
        <v>5.2999999999999999E-2</v>
      </c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</row>
    <row r="30" spans="1:17" x14ac:dyDescent="0.25">
      <c r="A30" s="24" t="s">
        <v>10</v>
      </c>
      <c r="B30" s="25">
        <f t="shared" ref="B30:B32" si="1">$C$4*$C30</f>
        <v>57.953000000000003</v>
      </c>
      <c r="C30" s="27">
        <v>8.5000000000000006E-3</v>
      </c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spans="1:17" x14ac:dyDescent="0.25">
      <c r="A31" s="24" t="s">
        <v>11</v>
      </c>
      <c r="B31" s="25">
        <f t="shared" si="1"/>
        <v>74.99799999999999</v>
      </c>
      <c r="C31" s="27">
        <v>1.0999999999999999E-2</v>
      </c>
      <c r="D31" s="25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spans="1:17" x14ac:dyDescent="0.25">
      <c r="A32" s="24" t="s">
        <v>12</v>
      </c>
      <c r="B32" s="25">
        <f t="shared" si="1"/>
        <v>72.816240000000008</v>
      </c>
      <c r="C32" s="27">
        <v>1.068E-2</v>
      </c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</row>
    <row r="33" spans="1:17" x14ac:dyDescent="0.25">
      <c r="A33" s="24" t="s">
        <v>13</v>
      </c>
      <c r="B33" s="24">
        <v>230.45</v>
      </c>
      <c r="C33" s="28" t="s">
        <v>23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</row>
    <row r="34" spans="1:17" x14ac:dyDescent="0.25">
      <c r="A34" s="24" t="s">
        <v>14</v>
      </c>
      <c r="B34" s="25">
        <f>B27*(C34/100)</f>
        <v>747.19828320227623</v>
      </c>
      <c r="C34" s="29" cm="1">
        <f t="array" ref="C34">IF(
  SUMPRODUCT((Feuil1!$B$27&gt;=Feuil3!$A$1:$A$300)*(Feuil1!$B$27&lt;=Feuil3!$B$1:$B$300)*Feuil3!$C$1:$C$300)=0,
  "Pas de match",
  IF(
    SUMPRODUCT((Feuil1!$B$27&gt;=Feuil3!$A$1:$A$300)*(Feuil1!$B$27&lt;=Feuil3!$B$1:$B$300)*Feuil3!$C$1:$C$300)&lt;=1,
    SUMPRODUCT((Feuil1!$B$27&gt;=Feuil3!$A$1:$A$300)*(Feuil1!$B$27&lt;=Feuil3!$B$1:$B$300)*Feuil3!$C$1:$C$300)*100,
    SUMPRODUCT((Feuil1!$B$27&gt;=Feuil3!$A$1:$A$300)*(Feuil1!$B$27&lt;=Feuil3!$B$1:$B$300)*Feuil3!$C$1:$C$300)
  )
)</f>
        <v>12.21</v>
      </c>
      <c r="D34" s="25"/>
      <c r="E34" s="30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 spans="1:17" x14ac:dyDescent="0.25">
      <c r="A35" s="24" t="s">
        <v>15</v>
      </c>
      <c r="B35" s="25">
        <f>SUM(B29:B34)</f>
        <v>1544.7695232022761</v>
      </c>
      <c r="C35" s="27"/>
      <c r="D35" s="25"/>
      <c r="E35" s="24"/>
      <c r="F35" s="25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spans="1:17" x14ac:dyDescent="0.25">
      <c r="A36" s="24"/>
      <c r="B36" s="24" t="s">
        <v>16</v>
      </c>
      <c r="C36" s="25">
        <f>B27-B35</f>
        <v>4574.7905357844247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9" spans="1:17" x14ac:dyDescent="0.25">
      <c r="A39" s="31" t="s">
        <v>26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</row>
    <row r="40" spans="1:17" x14ac:dyDescent="0.25">
      <c r="A40" s="31"/>
      <c r="B40" s="31"/>
      <c r="C40" s="31" t="s">
        <v>2</v>
      </c>
      <c r="D40" s="31"/>
      <c r="E40" s="31"/>
      <c r="F40" s="31" t="s">
        <v>17</v>
      </c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spans="1:17" x14ac:dyDescent="0.25">
      <c r="A41" s="31" t="s">
        <v>0</v>
      </c>
      <c r="B41" s="31">
        <v>6623</v>
      </c>
      <c r="C41" s="32">
        <f>B41/173.333</f>
        <v>38.20968886478628</v>
      </c>
      <c r="D41" s="31"/>
      <c r="E41" s="31"/>
      <c r="F41" s="31" t="s">
        <v>1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1:17" x14ac:dyDescent="0.25">
      <c r="A42" s="31" t="s">
        <v>3</v>
      </c>
      <c r="B42" s="31">
        <v>195</v>
      </c>
      <c r="C42" s="31">
        <f>B41+B42</f>
        <v>6818</v>
      </c>
      <c r="D42" s="31" t="s">
        <v>22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17" x14ac:dyDescent="0.25">
      <c r="A43" s="31" t="s">
        <v>4</v>
      </c>
      <c r="B43" s="31">
        <v>72.03</v>
      </c>
      <c r="C43" s="32">
        <f>H45</f>
        <v>48.482572609558481</v>
      </c>
      <c r="D43" s="31" t="s">
        <v>5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1:17" x14ac:dyDescent="0.25">
      <c r="A44" s="31" t="s">
        <v>6</v>
      </c>
      <c r="B44" s="31">
        <v>20</v>
      </c>
      <c r="C44" s="32"/>
      <c r="D44" s="31"/>
      <c r="E44" s="31" t="s">
        <v>0</v>
      </c>
      <c r="F44" s="31">
        <f>B41*13</f>
        <v>86099</v>
      </c>
      <c r="G44" s="31"/>
      <c r="H44" s="31" t="s">
        <v>21</v>
      </c>
      <c r="I44" s="31"/>
      <c r="J44" s="31"/>
      <c r="K44" s="31"/>
      <c r="L44" s="31"/>
      <c r="M44" s="31"/>
      <c r="N44" s="31"/>
      <c r="O44" s="31"/>
      <c r="P44" s="31"/>
      <c r="Q44" s="31"/>
    </row>
    <row r="45" spans="1:17" x14ac:dyDescent="0.25">
      <c r="A45" s="31" t="s">
        <v>7</v>
      </c>
      <c r="B45" s="32">
        <f>((B43*C43)*B44)/100</f>
        <v>698.4399410132994</v>
      </c>
      <c r="C45" s="31"/>
      <c r="D45" s="31"/>
      <c r="E45" s="31" t="s">
        <v>18</v>
      </c>
      <c r="F45" s="31">
        <f>B42*12</f>
        <v>2340</v>
      </c>
      <c r="G45" s="31">
        <f>F44+F45</f>
        <v>88439</v>
      </c>
      <c r="H45" s="32">
        <f>G45/G46</f>
        <v>48.482572609558481</v>
      </c>
      <c r="I45" s="31"/>
      <c r="J45" s="31"/>
      <c r="K45" s="31"/>
      <c r="L45" s="31"/>
      <c r="M45" s="31"/>
      <c r="N45" s="31"/>
      <c r="O45" s="31"/>
      <c r="P45" s="31"/>
      <c r="Q45" s="31"/>
    </row>
    <row r="46" spans="1:17" x14ac:dyDescent="0.25">
      <c r="A46" s="31" t="s">
        <v>8</v>
      </c>
      <c r="B46" s="32">
        <f>C42-B45</f>
        <v>6119.5600589867008</v>
      </c>
      <c r="C46" s="31"/>
      <c r="D46" s="31"/>
      <c r="E46" s="31" t="s">
        <v>19</v>
      </c>
      <c r="F46" s="31">
        <v>223</v>
      </c>
      <c r="G46" s="31">
        <f>F46*F47</f>
        <v>1824.1399999999999</v>
      </c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17" x14ac:dyDescent="0.25">
      <c r="A47" s="31"/>
      <c r="B47" s="31"/>
      <c r="C47" s="31"/>
      <c r="D47" s="31"/>
      <c r="E47" s="31" t="s">
        <v>20</v>
      </c>
      <c r="F47" s="33">
        <v>8.18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17" x14ac:dyDescent="0.25">
      <c r="A48" s="31" t="s">
        <v>9</v>
      </c>
      <c r="B48" s="32">
        <f>$C$4*$C48</f>
        <v>361.35399999999998</v>
      </c>
      <c r="C48" s="34">
        <v>5.2999999999999999E-2</v>
      </c>
      <c r="D48" s="32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1:17" x14ac:dyDescent="0.25">
      <c r="A49" s="31" t="s">
        <v>10</v>
      </c>
      <c r="B49" s="32">
        <f t="shared" ref="B49:B51" si="2">$C$4*$C49</f>
        <v>57.953000000000003</v>
      </c>
      <c r="C49" s="34">
        <v>8.5000000000000006E-3</v>
      </c>
      <c r="D49" s="32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1:17" x14ac:dyDescent="0.25">
      <c r="A50" s="31" t="s">
        <v>11</v>
      </c>
      <c r="B50" s="32">
        <f t="shared" si="2"/>
        <v>74.99799999999999</v>
      </c>
      <c r="C50" s="34">
        <v>1.0999999999999999E-2</v>
      </c>
      <c r="D50" s="32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1:17" x14ac:dyDescent="0.25">
      <c r="A51" s="31" t="s">
        <v>12</v>
      </c>
      <c r="B51" s="32">
        <f t="shared" si="2"/>
        <v>72.816240000000008</v>
      </c>
      <c r="C51" s="34">
        <v>1.068E-2</v>
      </c>
      <c r="D51" s="32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1:17" x14ac:dyDescent="0.25">
      <c r="A52" s="31" t="s">
        <v>13</v>
      </c>
      <c r="B52" s="31">
        <v>230.45</v>
      </c>
      <c r="C52" s="35" t="s">
        <v>23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1:17" x14ac:dyDescent="0.25">
      <c r="A53" s="31" t="s">
        <v>14</v>
      </c>
      <c r="B53" s="32">
        <f>B46*(C53/100)</f>
        <v>747.19828320227623</v>
      </c>
      <c r="C53" s="36" cm="1">
        <f t="array" ref="C53">IF(
  SUMPRODUCT((Feuil1!$B$27&gt;=Feuil3!$A$1:$A$300)*(Feuil1!$B$27&lt;=Feuil3!$B$1:$B$300)*Feuil3!$C$1:$C$300)=0,
  "Pas de match",
  IF(
    SUMPRODUCT((Feuil1!$B$27&gt;=Feuil3!$A$1:$A$300)*(Feuil1!$B$27&lt;=Feuil3!$B$1:$B$300)*Feuil3!$C$1:$C$300)&lt;=1,
    SUMPRODUCT((Feuil1!$B$27&gt;=Feuil3!$A$1:$A$300)*(Feuil1!$B$27&lt;=Feuil3!$B$1:$B$300)*Feuil3!$C$1:$C$300)*100,
    SUMPRODUCT((Feuil1!$B$27&gt;=Feuil3!$A$1:$A$300)*(Feuil1!$B$27&lt;=Feuil3!$B$1:$B$300)*Feuil3!$C$1:$C$300)
  )
)</f>
        <v>12.21</v>
      </c>
      <c r="D53" s="32"/>
      <c r="E53" s="37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1:17" x14ac:dyDescent="0.25">
      <c r="A54" s="31" t="s">
        <v>15</v>
      </c>
      <c r="B54" s="32">
        <f>SUM(B48:B53)</f>
        <v>1544.7695232022761</v>
      </c>
      <c r="C54" s="34"/>
      <c r="D54" s="32"/>
      <c r="E54" s="31"/>
      <c r="F54" s="32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1:17" x14ac:dyDescent="0.25">
      <c r="A55" s="31"/>
      <c r="B55" s="31" t="s">
        <v>16</v>
      </c>
      <c r="C55" s="32">
        <f>B46-B54</f>
        <v>4574.7905357844247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20A1-29F9-4FB9-898E-7DD2F01DF0FF}">
  <dimension ref="A1:K290"/>
  <sheetViews>
    <sheetView workbookViewId="0">
      <selection activeCell="P110" sqref="P110"/>
    </sheetView>
  </sheetViews>
  <sheetFormatPr baseColWidth="10" defaultRowHeight="15" x14ac:dyDescent="0.25"/>
  <cols>
    <col min="1" max="3" width="11.42578125" style="10"/>
    <col min="4" max="11" width="0" hidden="1" customWidth="1"/>
  </cols>
  <sheetData>
    <row r="1" spans="1:11" x14ac:dyDescent="0.25">
      <c r="A1" s="4">
        <v>501</v>
      </c>
      <c r="B1" s="4">
        <v>550</v>
      </c>
      <c r="C1" s="5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</row>
    <row r="2" spans="1:11" x14ac:dyDescent="0.25">
      <c r="A2" s="6">
        <v>551</v>
      </c>
      <c r="B2" s="6">
        <v>600</v>
      </c>
      <c r="C2" s="7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8">
        <v>601</v>
      </c>
      <c r="B3" s="8">
        <v>650</v>
      </c>
      <c r="C3" s="9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 x14ac:dyDescent="0.25">
      <c r="A4" s="6">
        <v>651</v>
      </c>
      <c r="B4" s="6">
        <v>700</v>
      </c>
      <c r="C4" s="7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8">
        <v>701</v>
      </c>
      <c r="B5" s="8">
        <v>750</v>
      </c>
      <c r="C5" s="9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 x14ac:dyDescent="0.25">
      <c r="A6" s="6">
        <v>751</v>
      </c>
      <c r="B6" s="6">
        <v>800</v>
      </c>
      <c r="C6" s="7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8">
        <v>801</v>
      </c>
      <c r="B7" s="8">
        <v>850</v>
      </c>
      <c r="C7" s="9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1" x14ac:dyDescent="0.25">
      <c r="A8" s="6">
        <v>851</v>
      </c>
      <c r="B8" s="6">
        <v>900</v>
      </c>
      <c r="C8" s="7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8">
        <v>901</v>
      </c>
      <c r="B9" s="8">
        <v>950</v>
      </c>
      <c r="C9" s="9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5">
      <c r="A10" s="6">
        <v>951</v>
      </c>
      <c r="B10" s="6">
        <v>1000</v>
      </c>
      <c r="C10" s="7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8">
        <v>1001</v>
      </c>
      <c r="B11" s="8">
        <v>1050</v>
      </c>
      <c r="C11" s="9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1" x14ac:dyDescent="0.25">
      <c r="A12" s="6">
        <v>1051</v>
      </c>
      <c r="B12" s="6">
        <v>1100</v>
      </c>
      <c r="C12" s="7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8">
        <v>1101</v>
      </c>
      <c r="B13" s="8">
        <v>1150</v>
      </c>
      <c r="C13" s="9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5">
      <c r="A14" s="6">
        <v>1151</v>
      </c>
      <c r="B14" s="6">
        <v>1200</v>
      </c>
      <c r="C14" s="7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25">
      <c r="A15" s="8">
        <v>1201</v>
      </c>
      <c r="B15" s="8">
        <v>1250</v>
      </c>
      <c r="C15" s="9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5">
      <c r="A16" s="6">
        <v>1251</v>
      </c>
      <c r="B16" s="6">
        <v>1300</v>
      </c>
      <c r="C16" s="7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25">
      <c r="A17" s="8">
        <v>1301</v>
      </c>
      <c r="B17" s="8">
        <v>1350</v>
      </c>
      <c r="C17" s="9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1" x14ac:dyDescent="0.25">
      <c r="A18" s="6">
        <v>1351</v>
      </c>
      <c r="B18" s="6">
        <v>1400</v>
      </c>
      <c r="C18" s="7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25">
      <c r="A19" s="8">
        <v>1401</v>
      </c>
      <c r="B19" s="8">
        <v>1450</v>
      </c>
      <c r="C19" s="9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25">
      <c r="A20" s="6">
        <v>1451</v>
      </c>
      <c r="B20" s="6">
        <v>1500</v>
      </c>
      <c r="C20" s="7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x14ac:dyDescent="0.25">
      <c r="A21" s="8">
        <v>1501</v>
      </c>
      <c r="B21" s="8">
        <v>1550</v>
      </c>
      <c r="C21" s="9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1" x14ac:dyDescent="0.25">
      <c r="A22" s="6">
        <v>1551</v>
      </c>
      <c r="B22" s="6">
        <v>1600</v>
      </c>
      <c r="C22" s="7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x14ac:dyDescent="0.25">
      <c r="A23" s="8">
        <v>1601</v>
      </c>
      <c r="B23" s="8">
        <v>1650</v>
      </c>
      <c r="C23" s="9">
        <v>0.1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1" x14ac:dyDescent="0.25">
      <c r="A24" s="6">
        <v>1651</v>
      </c>
      <c r="B24" s="6">
        <v>1700</v>
      </c>
      <c r="C24" s="7">
        <v>0.19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</row>
    <row r="25" spans="1:11" x14ac:dyDescent="0.25">
      <c r="A25" s="8">
        <v>1701</v>
      </c>
      <c r="B25" s="8">
        <v>1750</v>
      </c>
      <c r="C25" s="9">
        <v>0.28000000000000003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1" x14ac:dyDescent="0.25">
      <c r="A26" s="6">
        <v>1751</v>
      </c>
      <c r="B26" s="6">
        <v>1800</v>
      </c>
      <c r="C26" s="7">
        <v>0.36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 spans="1:11" x14ac:dyDescent="0.25">
      <c r="A27" s="8">
        <v>1801</v>
      </c>
      <c r="B27" s="8">
        <v>1850</v>
      </c>
      <c r="C27" s="9">
        <v>0.44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1" x14ac:dyDescent="0.25">
      <c r="A28" s="6">
        <v>1851</v>
      </c>
      <c r="B28" s="6">
        <v>1900</v>
      </c>
      <c r="C28" s="7">
        <v>0.56999999999999995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</row>
    <row r="29" spans="1:11" x14ac:dyDescent="0.25">
      <c r="A29" s="8">
        <v>1901</v>
      </c>
      <c r="B29" s="8">
        <v>1950</v>
      </c>
      <c r="C29" s="9">
        <v>0.72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 x14ac:dyDescent="0.25">
      <c r="A30" s="6">
        <v>1951</v>
      </c>
      <c r="B30" s="6">
        <v>2000</v>
      </c>
      <c r="C30" s="7">
        <v>0.87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 x14ac:dyDescent="0.25">
      <c r="A31" s="8">
        <v>2001</v>
      </c>
      <c r="B31" s="8">
        <v>2050</v>
      </c>
      <c r="C31" s="9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1" x14ac:dyDescent="0.25">
      <c r="A32" s="6">
        <v>2051</v>
      </c>
      <c r="B32" s="6">
        <v>2100</v>
      </c>
      <c r="C32" s="7">
        <v>1.1299999999999999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x14ac:dyDescent="0.25">
      <c r="A33" s="8">
        <v>2101</v>
      </c>
      <c r="B33" s="8">
        <v>2150</v>
      </c>
      <c r="C33" s="9">
        <v>1.26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 x14ac:dyDescent="0.25">
      <c r="A34" s="6">
        <v>2151</v>
      </c>
      <c r="B34" s="6">
        <v>2200</v>
      </c>
      <c r="C34" s="7">
        <v>1.39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</row>
    <row r="35" spans="1:11" x14ac:dyDescent="0.25">
      <c r="A35" s="8">
        <v>2201</v>
      </c>
      <c r="B35" s="8">
        <v>2250</v>
      </c>
      <c r="C35" s="9">
        <v>1.52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 x14ac:dyDescent="0.25">
      <c r="A36" s="6">
        <v>2251</v>
      </c>
      <c r="B36" s="6">
        <v>2300</v>
      </c>
      <c r="C36" s="7">
        <v>1.64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</row>
    <row r="37" spans="1:11" x14ac:dyDescent="0.25">
      <c r="A37" s="8">
        <v>2301</v>
      </c>
      <c r="B37" s="8">
        <v>2350</v>
      </c>
      <c r="C37" s="9">
        <v>1.75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 x14ac:dyDescent="0.25">
      <c r="A38" s="6">
        <v>2351</v>
      </c>
      <c r="B38" s="6">
        <v>2400</v>
      </c>
      <c r="C38" s="7">
        <v>1.92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</row>
    <row r="39" spans="1:11" x14ac:dyDescent="0.25">
      <c r="A39" s="8">
        <v>2401</v>
      </c>
      <c r="B39" s="8">
        <v>2450</v>
      </c>
      <c r="C39" s="9">
        <v>2.15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 x14ac:dyDescent="0.25">
      <c r="A40" s="6">
        <v>2451</v>
      </c>
      <c r="B40" s="6">
        <v>2500</v>
      </c>
      <c r="C40" s="7">
        <v>2.38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</row>
    <row r="41" spans="1:11" x14ac:dyDescent="0.25">
      <c r="A41" s="8">
        <v>2501</v>
      </c>
      <c r="B41" s="8">
        <v>2550</v>
      </c>
      <c r="C41" s="9">
        <v>2.6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 x14ac:dyDescent="0.25">
      <c r="A42" s="6">
        <v>2551</v>
      </c>
      <c r="B42" s="6">
        <v>2600</v>
      </c>
      <c r="C42" s="7">
        <v>2.81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</row>
    <row r="43" spans="1:11" x14ac:dyDescent="0.25">
      <c r="A43" s="8">
        <v>2601</v>
      </c>
      <c r="B43" s="8">
        <v>2650</v>
      </c>
      <c r="C43" s="9">
        <v>3.01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 x14ac:dyDescent="0.25">
      <c r="A44" s="6">
        <v>2651</v>
      </c>
      <c r="B44" s="6">
        <v>2700</v>
      </c>
      <c r="C44" s="7">
        <v>3.2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</row>
    <row r="45" spans="1:11" x14ac:dyDescent="0.25">
      <c r="A45" s="8">
        <v>2701</v>
      </c>
      <c r="B45" s="8">
        <v>2750</v>
      </c>
      <c r="C45" s="9">
        <v>3.39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 x14ac:dyDescent="0.25">
      <c r="A46" s="6">
        <v>2751</v>
      </c>
      <c r="B46" s="6">
        <v>2800</v>
      </c>
      <c r="C46" s="7">
        <v>3.57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</row>
    <row r="47" spans="1:11" x14ac:dyDescent="0.25">
      <c r="A47" s="8">
        <v>2801</v>
      </c>
      <c r="B47" s="8">
        <v>2850</v>
      </c>
      <c r="C47" s="9">
        <v>3.74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 x14ac:dyDescent="0.25">
      <c r="A48" s="6">
        <v>2851</v>
      </c>
      <c r="B48" s="6">
        <v>2900</v>
      </c>
      <c r="C48" s="7">
        <v>3.93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</row>
    <row r="49" spans="1:11" x14ac:dyDescent="0.25">
      <c r="A49" s="8">
        <v>2901</v>
      </c>
      <c r="B49" s="8">
        <v>2950</v>
      </c>
      <c r="C49" s="9">
        <v>4.1900000000000004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 x14ac:dyDescent="0.25">
      <c r="A50" s="6">
        <v>2951</v>
      </c>
      <c r="B50" s="6">
        <v>3000</v>
      </c>
      <c r="C50" s="7">
        <v>4.4400000000000004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 spans="1:11" x14ac:dyDescent="0.25">
      <c r="A51" s="8">
        <v>3001</v>
      </c>
      <c r="B51" s="8">
        <v>3050</v>
      </c>
      <c r="C51" s="9">
        <v>4.68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 x14ac:dyDescent="0.25">
      <c r="A52" s="6">
        <v>3051</v>
      </c>
      <c r="B52" s="6">
        <v>3100</v>
      </c>
      <c r="C52" s="7">
        <v>4.92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</row>
    <row r="53" spans="1:11" x14ac:dyDescent="0.25">
      <c r="A53" s="8">
        <v>3101</v>
      </c>
      <c r="B53" s="8">
        <v>3150</v>
      </c>
      <c r="C53" s="9">
        <v>5.14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1" x14ac:dyDescent="0.25">
      <c r="A54" s="6">
        <v>3151</v>
      </c>
      <c r="B54" s="6">
        <v>3200</v>
      </c>
      <c r="C54" s="7">
        <v>5.36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x14ac:dyDescent="0.25">
      <c r="A55" s="8">
        <v>3201</v>
      </c>
      <c r="B55" s="8">
        <v>3250</v>
      </c>
      <c r="C55" s="9">
        <v>5.58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1" x14ac:dyDescent="0.25">
      <c r="A56" s="6">
        <v>3251</v>
      </c>
      <c r="B56" s="6">
        <v>3300</v>
      </c>
      <c r="C56" s="7">
        <v>5.78</v>
      </c>
      <c r="D56" s="2">
        <v>0.01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</row>
    <row r="57" spans="1:11" x14ac:dyDescent="0.25">
      <c r="A57" s="8">
        <v>3301</v>
      </c>
      <c r="B57" s="8">
        <v>3350</v>
      </c>
      <c r="C57" s="9">
        <v>6.04</v>
      </c>
      <c r="D57" s="3">
        <v>0.02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1" x14ac:dyDescent="0.25">
      <c r="A58" s="6">
        <v>3351</v>
      </c>
      <c r="B58" s="6">
        <v>3400</v>
      </c>
      <c r="C58" s="7">
        <v>6.23</v>
      </c>
      <c r="D58" s="2">
        <v>0.04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x14ac:dyDescent="0.25">
      <c r="A59" s="8">
        <v>3401</v>
      </c>
      <c r="B59" s="8">
        <v>3450</v>
      </c>
      <c r="C59" s="9">
        <v>6.47</v>
      </c>
      <c r="D59" s="3">
        <v>0.05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1" x14ac:dyDescent="0.25">
      <c r="A60" s="6">
        <v>3451</v>
      </c>
      <c r="B60" s="6">
        <v>3500</v>
      </c>
      <c r="C60" s="7">
        <v>6.66</v>
      </c>
      <c r="D60" s="2">
        <v>7.0000000000000007E-2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x14ac:dyDescent="0.25">
      <c r="A61" s="8">
        <v>3501</v>
      </c>
      <c r="B61" s="8">
        <v>3550</v>
      </c>
      <c r="C61" s="9">
        <v>6.88</v>
      </c>
      <c r="D61" s="3">
        <v>0.09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1" x14ac:dyDescent="0.25">
      <c r="A62" s="6">
        <v>3551</v>
      </c>
      <c r="B62" s="6">
        <v>3600</v>
      </c>
      <c r="C62" s="7">
        <v>7.06</v>
      </c>
      <c r="D62" s="2">
        <v>0.1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</row>
    <row r="63" spans="1:11" x14ac:dyDescent="0.25">
      <c r="A63" s="8">
        <v>3601</v>
      </c>
      <c r="B63" s="8">
        <v>3650</v>
      </c>
      <c r="C63" s="9">
        <v>7.27</v>
      </c>
      <c r="D63" s="3">
        <v>0.11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1" x14ac:dyDescent="0.25">
      <c r="A64" s="6">
        <v>3651</v>
      </c>
      <c r="B64" s="6">
        <v>3700</v>
      </c>
      <c r="C64" s="7">
        <v>7.43</v>
      </c>
      <c r="D64" s="2">
        <v>0.13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</row>
    <row r="65" spans="1:11" x14ac:dyDescent="0.25">
      <c r="A65" s="8">
        <v>3701</v>
      </c>
      <c r="B65" s="8">
        <v>3750</v>
      </c>
      <c r="C65" s="9">
        <v>7.64</v>
      </c>
      <c r="D65" s="3">
        <v>0.14000000000000001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1" x14ac:dyDescent="0.25">
      <c r="A66" s="6">
        <v>3751</v>
      </c>
      <c r="B66" s="6">
        <v>3800</v>
      </c>
      <c r="C66" s="7">
        <v>7.79</v>
      </c>
      <c r="D66" s="2">
        <v>0.16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x14ac:dyDescent="0.25">
      <c r="A67" s="8">
        <v>3801</v>
      </c>
      <c r="B67" s="8">
        <v>3850</v>
      </c>
      <c r="C67" s="9">
        <v>7.99</v>
      </c>
      <c r="D67" s="3">
        <v>0.18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1" x14ac:dyDescent="0.25">
      <c r="A68" s="6">
        <v>3851</v>
      </c>
      <c r="B68" s="6">
        <v>3900</v>
      </c>
      <c r="C68" s="7">
        <v>8.14</v>
      </c>
      <c r="D68" s="2">
        <v>0.21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</row>
    <row r="69" spans="1:11" x14ac:dyDescent="0.25">
      <c r="A69" s="8">
        <v>3901</v>
      </c>
      <c r="B69" s="8">
        <v>3950</v>
      </c>
      <c r="C69" s="9">
        <v>8.33</v>
      </c>
      <c r="D69" s="3">
        <v>0.23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1" x14ac:dyDescent="0.25">
      <c r="A70" s="6">
        <v>3951</v>
      </c>
      <c r="B70" s="6">
        <v>4000</v>
      </c>
      <c r="C70" s="7">
        <v>8.4700000000000006</v>
      </c>
      <c r="D70" s="2">
        <v>0.32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</row>
    <row r="71" spans="1:11" x14ac:dyDescent="0.25">
      <c r="A71" s="8">
        <v>4001</v>
      </c>
      <c r="B71" s="8">
        <v>4050</v>
      </c>
      <c r="C71" s="9">
        <v>8.66</v>
      </c>
      <c r="D71" s="3">
        <v>0.4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1" x14ac:dyDescent="0.25">
      <c r="A72" s="6">
        <v>4051</v>
      </c>
      <c r="B72" s="6">
        <v>4100</v>
      </c>
      <c r="C72" s="7">
        <v>8.7899999999999991</v>
      </c>
      <c r="D72" s="2">
        <v>0.46</v>
      </c>
      <c r="E72" s="2">
        <v>0.01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</row>
    <row r="73" spans="1:11" x14ac:dyDescent="0.25">
      <c r="A73" s="8">
        <v>4101</v>
      </c>
      <c r="B73" s="8">
        <v>4150</v>
      </c>
      <c r="C73" s="9">
        <v>8.9700000000000006</v>
      </c>
      <c r="D73" s="3">
        <v>0.54</v>
      </c>
      <c r="E73" s="3">
        <v>0.02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1" x14ac:dyDescent="0.25">
      <c r="A74" s="6">
        <v>4151</v>
      </c>
      <c r="B74" s="6">
        <v>4200</v>
      </c>
      <c r="C74" s="7">
        <v>9.1</v>
      </c>
      <c r="D74" s="2">
        <v>0.6</v>
      </c>
      <c r="E74" s="2">
        <v>0.03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</row>
    <row r="75" spans="1:11" x14ac:dyDescent="0.25">
      <c r="A75" s="8">
        <v>4201</v>
      </c>
      <c r="B75" s="8">
        <v>4250</v>
      </c>
      <c r="C75" s="9">
        <v>9.27</v>
      </c>
      <c r="D75" s="3">
        <v>0.68</v>
      </c>
      <c r="E75" s="3">
        <v>0.04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1" x14ac:dyDescent="0.25">
      <c r="A76" s="6">
        <v>4251</v>
      </c>
      <c r="B76" s="6">
        <v>4300</v>
      </c>
      <c r="C76" s="7">
        <v>9.39</v>
      </c>
      <c r="D76" s="2">
        <v>0.75</v>
      </c>
      <c r="E76" s="2">
        <v>0.06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</row>
    <row r="77" spans="1:11" x14ac:dyDescent="0.25">
      <c r="A77" s="8">
        <v>4301</v>
      </c>
      <c r="B77" s="8">
        <v>4350</v>
      </c>
      <c r="C77" s="9">
        <v>9.5500000000000007</v>
      </c>
      <c r="D77" s="3">
        <v>0.81</v>
      </c>
      <c r="E77" s="3">
        <v>7.0000000000000007E-2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1" x14ac:dyDescent="0.25">
      <c r="A78" s="6">
        <v>4351</v>
      </c>
      <c r="B78" s="6">
        <v>4400</v>
      </c>
      <c r="C78" s="7">
        <v>9.67</v>
      </c>
      <c r="D78" s="2">
        <v>0.88</v>
      </c>
      <c r="E78" s="2">
        <v>0.08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</row>
    <row r="79" spans="1:11" x14ac:dyDescent="0.25">
      <c r="A79" s="8">
        <v>4401</v>
      </c>
      <c r="B79" s="8">
        <v>4450</v>
      </c>
      <c r="C79" s="9">
        <v>9.83</v>
      </c>
      <c r="D79" s="3">
        <v>0.93</v>
      </c>
      <c r="E79" s="3">
        <v>0.09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1" x14ac:dyDescent="0.25">
      <c r="A80" s="6">
        <v>4451</v>
      </c>
      <c r="B80" s="6">
        <v>4500</v>
      </c>
      <c r="C80" s="7">
        <v>9.94</v>
      </c>
      <c r="D80" s="2">
        <v>1</v>
      </c>
      <c r="E80" s="2">
        <v>0.1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</row>
    <row r="81" spans="1:11" x14ac:dyDescent="0.25">
      <c r="A81" s="8">
        <v>4501</v>
      </c>
      <c r="B81" s="8">
        <v>4550</v>
      </c>
      <c r="C81" s="9">
        <v>10.09</v>
      </c>
      <c r="D81" s="3">
        <v>1.06</v>
      </c>
      <c r="E81" s="3">
        <v>0.12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1" x14ac:dyDescent="0.25">
      <c r="A82" s="6">
        <v>4551</v>
      </c>
      <c r="B82" s="6">
        <v>4600</v>
      </c>
      <c r="C82" s="7">
        <v>10.19</v>
      </c>
      <c r="D82" s="2">
        <v>1.1100000000000001</v>
      </c>
      <c r="E82" s="2">
        <v>0.13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</row>
    <row r="83" spans="1:11" x14ac:dyDescent="0.25">
      <c r="A83" s="8">
        <v>4601</v>
      </c>
      <c r="B83" s="8">
        <v>4650</v>
      </c>
      <c r="C83" s="9">
        <v>10.33</v>
      </c>
      <c r="D83" s="3">
        <v>1.17</v>
      </c>
      <c r="E83" s="3">
        <v>0.15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1" x14ac:dyDescent="0.25">
      <c r="A84" s="6">
        <v>4651</v>
      </c>
      <c r="B84" s="6">
        <v>4700</v>
      </c>
      <c r="C84" s="7">
        <v>10.43</v>
      </c>
      <c r="D84" s="2">
        <v>1.22</v>
      </c>
      <c r="E84" s="2">
        <v>0.18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</row>
    <row r="85" spans="1:11" x14ac:dyDescent="0.25">
      <c r="A85" s="8">
        <v>4701</v>
      </c>
      <c r="B85" s="8">
        <v>4750</v>
      </c>
      <c r="C85" s="9">
        <v>10.61</v>
      </c>
      <c r="D85" s="3">
        <v>1.29</v>
      </c>
      <c r="E85" s="3">
        <v>0.2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1" x14ac:dyDescent="0.25">
      <c r="A86" s="6">
        <v>4751</v>
      </c>
      <c r="B86" s="6">
        <v>4800</v>
      </c>
      <c r="C86" s="7">
        <v>10.71</v>
      </c>
      <c r="D86" s="2">
        <v>1.37</v>
      </c>
      <c r="E86" s="2">
        <v>0.22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</row>
    <row r="87" spans="1:11" x14ac:dyDescent="0.25">
      <c r="A87" s="8">
        <v>4801</v>
      </c>
      <c r="B87" s="8">
        <v>4850</v>
      </c>
      <c r="C87" s="9">
        <v>10.85</v>
      </c>
      <c r="D87" s="3">
        <v>1.51</v>
      </c>
      <c r="E87" s="3">
        <v>0.24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1" x14ac:dyDescent="0.25">
      <c r="A88" s="6">
        <v>4851</v>
      </c>
      <c r="B88" s="6">
        <v>4900</v>
      </c>
      <c r="C88" s="7">
        <v>10.95</v>
      </c>
      <c r="D88" s="2">
        <v>1.6</v>
      </c>
      <c r="E88" s="2">
        <v>0.27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</row>
    <row r="89" spans="1:11" x14ac:dyDescent="0.25">
      <c r="A89" s="8">
        <v>4901</v>
      </c>
      <c r="B89" s="8">
        <v>4950</v>
      </c>
      <c r="C89" s="9">
        <v>11.08</v>
      </c>
      <c r="D89" s="3">
        <v>1.73</v>
      </c>
      <c r="E89" s="3">
        <v>0.28000000000000003</v>
      </c>
      <c r="F89" s="3">
        <v>0.02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1" x14ac:dyDescent="0.25">
      <c r="A90" s="6">
        <v>4951</v>
      </c>
      <c r="B90" s="6">
        <v>5000</v>
      </c>
      <c r="C90" s="7">
        <v>11.19</v>
      </c>
      <c r="D90" s="2">
        <v>1.82</v>
      </c>
      <c r="E90" s="2">
        <v>0.31</v>
      </c>
      <c r="F90" s="2">
        <v>0.03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</row>
    <row r="91" spans="1:11" x14ac:dyDescent="0.25">
      <c r="A91" s="8">
        <v>5001</v>
      </c>
      <c r="B91" s="8">
        <v>5050</v>
      </c>
      <c r="C91" s="9">
        <v>11.33</v>
      </c>
      <c r="D91" s="3">
        <v>1.94</v>
      </c>
      <c r="E91" s="3">
        <v>0.32</v>
      </c>
      <c r="F91" s="3">
        <v>0.04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1" x14ac:dyDescent="0.25">
      <c r="A92" s="6">
        <v>5051</v>
      </c>
      <c r="B92" s="6">
        <v>5100</v>
      </c>
      <c r="C92" s="7">
        <v>11.43</v>
      </c>
      <c r="D92" s="2">
        <v>2.06</v>
      </c>
      <c r="E92" s="2">
        <v>0.35</v>
      </c>
      <c r="F92" s="2">
        <v>0.05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</row>
    <row r="93" spans="1:11" x14ac:dyDescent="0.25">
      <c r="A93" s="8">
        <v>5101</v>
      </c>
      <c r="B93" s="8">
        <v>5150</v>
      </c>
      <c r="C93" s="9">
        <v>11.57</v>
      </c>
      <c r="D93" s="3">
        <v>2.14</v>
      </c>
      <c r="E93" s="3">
        <v>0.37</v>
      </c>
      <c r="F93" s="3">
        <v>0.06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1" x14ac:dyDescent="0.25">
      <c r="A94" s="6">
        <v>5151</v>
      </c>
      <c r="B94" s="6">
        <v>5200</v>
      </c>
      <c r="C94" s="7">
        <v>11.67</v>
      </c>
      <c r="D94" s="2">
        <v>2.2599999999999998</v>
      </c>
      <c r="E94" s="2">
        <v>0.42</v>
      </c>
      <c r="F94" s="2">
        <v>7.0000000000000007E-2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</row>
    <row r="95" spans="1:11" x14ac:dyDescent="0.25">
      <c r="A95" s="8">
        <v>5201</v>
      </c>
      <c r="B95" s="8">
        <v>5250</v>
      </c>
      <c r="C95" s="9">
        <v>11.81</v>
      </c>
      <c r="D95" s="3">
        <v>2.34</v>
      </c>
      <c r="E95" s="3">
        <v>0.49</v>
      </c>
      <c r="F95" s="3">
        <v>0.08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1" x14ac:dyDescent="0.25">
      <c r="A96" s="6">
        <v>5251</v>
      </c>
      <c r="B96" s="6">
        <v>5300</v>
      </c>
      <c r="C96" s="7">
        <v>11.91</v>
      </c>
      <c r="D96" s="2">
        <v>2.4500000000000002</v>
      </c>
      <c r="E96" s="2">
        <v>0.53</v>
      </c>
      <c r="F96" s="2">
        <v>0.09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</row>
    <row r="97" spans="1:11" x14ac:dyDescent="0.25">
      <c r="A97" s="8">
        <v>5301</v>
      </c>
      <c r="B97" s="8">
        <v>5350</v>
      </c>
      <c r="C97" s="9">
        <v>12.03</v>
      </c>
      <c r="D97" s="3">
        <v>2.56</v>
      </c>
      <c r="E97" s="3">
        <v>0.59</v>
      </c>
      <c r="F97" s="3">
        <v>0.1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1" x14ac:dyDescent="0.25">
      <c r="A98" s="6">
        <v>5351</v>
      </c>
      <c r="B98" s="6">
        <v>5400</v>
      </c>
      <c r="C98" s="7">
        <v>12.13</v>
      </c>
      <c r="D98" s="2">
        <v>2.64</v>
      </c>
      <c r="E98" s="2">
        <v>0.65</v>
      </c>
      <c r="F98" s="2">
        <v>0.11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</row>
    <row r="99" spans="1:11" x14ac:dyDescent="0.25">
      <c r="A99" s="8">
        <v>5401</v>
      </c>
      <c r="B99" s="8">
        <v>5450</v>
      </c>
      <c r="C99" s="9">
        <v>12.21</v>
      </c>
      <c r="D99" s="3">
        <v>2.74</v>
      </c>
      <c r="E99" s="3">
        <v>0.7</v>
      </c>
      <c r="F99" s="3">
        <v>0.14000000000000001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1" x14ac:dyDescent="0.25">
      <c r="A100" s="6">
        <v>5451</v>
      </c>
      <c r="B100" s="6">
        <v>5500</v>
      </c>
      <c r="C100" s="7">
        <v>12.3</v>
      </c>
      <c r="D100" s="2">
        <v>2.82</v>
      </c>
      <c r="E100" s="2">
        <v>0.76</v>
      </c>
      <c r="F100" s="2">
        <v>0.15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</row>
    <row r="101" spans="1:11" x14ac:dyDescent="0.25">
      <c r="A101" s="8">
        <v>5501</v>
      </c>
      <c r="B101" s="8">
        <v>5550</v>
      </c>
      <c r="C101" s="9">
        <v>12.39</v>
      </c>
      <c r="D101" s="3">
        <v>2.92</v>
      </c>
      <c r="E101" s="3">
        <v>0.8</v>
      </c>
      <c r="F101" s="3">
        <v>0.17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1:11" x14ac:dyDescent="0.25">
      <c r="A102" s="6">
        <v>5551</v>
      </c>
      <c r="B102" s="6">
        <v>5600</v>
      </c>
      <c r="C102" s="7">
        <v>12.48</v>
      </c>
      <c r="D102" s="2">
        <v>3.06</v>
      </c>
      <c r="E102" s="2">
        <v>0.88</v>
      </c>
      <c r="F102" s="2">
        <v>0.19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</row>
    <row r="103" spans="1:11" x14ac:dyDescent="0.25">
      <c r="A103" s="8">
        <v>5601</v>
      </c>
      <c r="B103" s="8">
        <v>5650</v>
      </c>
      <c r="C103" s="9">
        <v>12.56</v>
      </c>
      <c r="D103" s="3">
        <v>3.13</v>
      </c>
      <c r="E103" s="3">
        <v>1</v>
      </c>
      <c r="F103" s="3">
        <v>0.21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</row>
    <row r="104" spans="1:11" x14ac:dyDescent="0.25">
      <c r="A104" s="6">
        <v>5651</v>
      </c>
      <c r="B104" s="6">
        <v>5700</v>
      </c>
      <c r="C104" s="7">
        <v>12.6</v>
      </c>
      <c r="D104" s="2">
        <v>3.24</v>
      </c>
      <c r="E104" s="2">
        <v>1.1200000000000001</v>
      </c>
      <c r="F104" s="2">
        <v>0.22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</row>
    <row r="105" spans="1:11" x14ac:dyDescent="0.25">
      <c r="A105" s="8">
        <v>5701</v>
      </c>
      <c r="B105" s="8">
        <v>5750</v>
      </c>
      <c r="C105" s="9">
        <v>12.68</v>
      </c>
      <c r="D105" s="3">
        <v>3.35</v>
      </c>
      <c r="E105" s="3">
        <v>1.2</v>
      </c>
      <c r="F105" s="3">
        <v>0.24</v>
      </c>
      <c r="G105" s="3">
        <v>0.01</v>
      </c>
      <c r="H105" s="3">
        <v>0</v>
      </c>
      <c r="I105" s="3">
        <v>0</v>
      </c>
      <c r="J105" s="3">
        <v>0</v>
      </c>
      <c r="K105" s="3">
        <v>0</v>
      </c>
    </row>
    <row r="106" spans="1:11" x14ac:dyDescent="0.25">
      <c r="A106" s="6">
        <v>5751</v>
      </c>
      <c r="B106" s="6">
        <v>5800</v>
      </c>
      <c r="C106" s="7">
        <v>12.77</v>
      </c>
      <c r="D106" s="2">
        <v>3.56</v>
      </c>
      <c r="E106" s="2">
        <v>1.36</v>
      </c>
      <c r="F106" s="2">
        <v>0.27</v>
      </c>
      <c r="G106" s="2">
        <v>0.02</v>
      </c>
      <c r="H106" s="2">
        <v>0</v>
      </c>
      <c r="I106" s="2">
        <v>0</v>
      </c>
      <c r="J106" s="2">
        <v>0</v>
      </c>
      <c r="K106" s="2">
        <v>0</v>
      </c>
    </row>
    <row r="107" spans="1:11" x14ac:dyDescent="0.25">
      <c r="A107" s="8">
        <v>5801</v>
      </c>
      <c r="B107" s="8">
        <v>5850</v>
      </c>
      <c r="C107" s="9">
        <v>12.85</v>
      </c>
      <c r="D107" s="3">
        <v>3.66</v>
      </c>
      <c r="E107" s="3">
        <v>1.47</v>
      </c>
      <c r="F107" s="3">
        <v>0.28999999999999998</v>
      </c>
      <c r="G107" s="3">
        <v>0.03</v>
      </c>
      <c r="H107" s="3">
        <v>0</v>
      </c>
      <c r="I107" s="3">
        <v>0</v>
      </c>
      <c r="J107" s="3">
        <v>0</v>
      </c>
      <c r="K107" s="3">
        <v>0</v>
      </c>
    </row>
    <row r="108" spans="1:11" x14ac:dyDescent="0.25">
      <c r="A108" s="6">
        <v>5851</v>
      </c>
      <c r="B108" s="6">
        <v>5900</v>
      </c>
      <c r="C108" s="7">
        <v>12.93</v>
      </c>
      <c r="D108" s="2">
        <v>3.87</v>
      </c>
      <c r="E108" s="2">
        <v>1.59</v>
      </c>
      <c r="F108" s="2">
        <v>0.31</v>
      </c>
      <c r="G108" s="2">
        <v>0.04</v>
      </c>
      <c r="H108" s="2">
        <v>0</v>
      </c>
      <c r="I108" s="2">
        <v>0</v>
      </c>
      <c r="J108" s="2">
        <v>0</v>
      </c>
      <c r="K108" s="2">
        <v>0</v>
      </c>
    </row>
    <row r="109" spans="1:11" x14ac:dyDescent="0.25">
      <c r="A109" s="8">
        <v>5901</v>
      </c>
      <c r="B109" s="8">
        <v>5950</v>
      </c>
      <c r="C109" s="9">
        <v>13.02</v>
      </c>
      <c r="D109" s="3">
        <v>3.96</v>
      </c>
      <c r="E109" s="3">
        <v>1.69</v>
      </c>
      <c r="F109" s="3">
        <v>0.33</v>
      </c>
      <c r="G109" s="3">
        <v>0.06</v>
      </c>
      <c r="H109" s="3">
        <v>0</v>
      </c>
      <c r="I109" s="3">
        <v>0</v>
      </c>
      <c r="J109" s="3">
        <v>0</v>
      </c>
      <c r="K109" s="3">
        <v>0</v>
      </c>
    </row>
    <row r="110" spans="1:11" x14ac:dyDescent="0.25">
      <c r="A110" s="6">
        <v>5951</v>
      </c>
      <c r="B110" s="6">
        <v>6000</v>
      </c>
      <c r="C110" s="7">
        <v>13.06</v>
      </c>
      <c r="D110" s="2">
        <v>4.09</v>
      </c>
      <c r="E110" s="2">
        <v>1.8</v>
      </c>
      <c r="F110" s="2">
        <v>0.35</v>
      </c>
      <c r="G110" s="2">
        <v>7.0000000000000007E-2</v>
      </c>
      <c r="H110" s="2">
        <v>0</v>
      </c>
      <c r="I110" s="2">
        <v>0</v>
      </c>
      <c r="J110" s="2">
        <v>0</v>
      </c>
      <c r="K110" s="2">
        <v>0</v>
      </c>
    </row>
    <row r="111" spans="1:11" x14ac:dyDescent="0.25">
      <c r="A111" s="8">
        <v>6001</v>
      </c>
      <c r="B111" s="8">
        <v>6050</v>
      </c>
      <c r="C111" s="9">
        <v>13.14</v>
      </c>
      <c r="D111" s="3">
        <v>4.25</v>
      </c>
      <c r="E111" s="3">
        <v>1.9</v>
      </c>
      <c r="F111" s="3">
        <v>0.36</v>
      </c>
      <c r="G111" s="3">
        <v>0.08</v>
      </c>
      <c r="H111" s="3">
        <v>0</v>
      </c>
      <c r="I111" s="3">
        <v>0</v>
      </c>
      <c r="J111" s="3">
        <v>0</v>
      </c>
      <c r="K111" s="3">
        <v>0</v>
      </c>
    </row>
    <row r="112" spans="1:11" x14ac:dyDescent="0.25">
      <c r="A112" s="6">
        <v>6051</v>
      </c>
      <c r="B112" s="6">
        <v>6100</v>
      </c>
      <c r="C112" s="7">
        <v>13.22</v>
      </c>
      <c r="D112" s="2">
        <v>4.38</v>
      </c>
      <c r="E112" s="2">
        <v>2.02</v>
      </c>
      <c r="F112" s="2">
        <v>0.39</v>
      </c>
      <c r="G112" s="2">
        <v>0.09</v>
      </c>
      <c r="H112" s="2">
        <v>0</v>
      </c>
      <c r="I112" s="2">
        <v>0</v>
      </c>
      <c r="J112" s="2">
        <v>0</v>
      </c>
      <c r="K112" s="2">
        <v>0</v>
      </c>
    </row>
    <row r="113" spans="1:11" x14ac:dyDescent="0.25">
      <c r="A113" s="8">
        <v>6101</v>
      </c>
      <c r="B113" s="8">
        <v>6150</v>
      </c>
      <c r="C113" s="9">
        <v>13.29</v>
      </c>
      <c r="D113" s="3">
        <v>4.53</v>
      </c>
      <c r="E113" s="3">
        <v>2.12</v>
      </c>
      <c r="F113" s="3">
        <v>0.4</v>
      </c>
      <c r="G113" s="3">
        <v>0.11</v>
      </c>
      <c r="H113" s="3">
        <v>0</v>
      </c>
      <c r="I113" s="3">
        <v>0</v>
      </c>
      <c r="J113" s="3">
        <v>0</v>
      </c>
      <c r="K113" s="3">
        <v>0</v>
      </c>
    </row>
    <row r="114" spans="1:11" x14ac:dyDescent="0.25">
      <c r="A114" s="6">
        <v>6151</v>
      </c>
      <c r="B114" s="6">
        <v>6200</v>
      </c>
      <c r="C114" s="7">
        <v>13.37</v>
      </c>
      <c r="D114" s="2">
        <v>4.66</v>
      </c>
      <c r="E114" s="2">
        <v>2.23</v>
      </c>
      <c r="F114" s="2">
        <v>0.42</v>
      </c>
      <c r="G114" s="2">
        <v>0.12</v>
      </c>
      <c r="H114" s="2">
        <v>0</v>
      </c>
      <c r="I114" s="2">
        <v>0</v>
      </c>
      <c r="J114" s="2">
        <v>0</v>
      </c>
      <c r="K114" s="2">
        <v>0</v>
      </c>
    </row>
    <row r="115" spans="1:11" x14ac:dyDescent="0.25">
      <c r="A115" s="8">
        <v>6201</v>
      </c>
      <c r="B115" s="8">
        <v>6250</v>
      </c>
      <c r="C115" s="9">
        <v>13.44</v>
      </c>
      <c r="D115" s="3">
        <v>4.84</v>
      </c>
      <c r="E115" s="3">
        <v>2.3199999999999998</v>
      </c>
      <c r="F115" s="3">
        <v>0.44</v>
      </c>
      <c r="G115" s="3">
        <v>0.15</v>
      </c>
      <c r="H115" s="3">
        <v>0</v>
      </c>
      <c r="I115" s="3">
        <v>0</v>
      </c>
      <c r="J115" s="3">
        <v>0</v>
      </c>
      <c r="K115" s="3">
        <v>0</v>
      </c>
    </row>
    <row r="116" spans="1:11" x14ac:dyDescent="0.25">
      <c r="A116" s="6">
        <v>6251</v>
      </c>
      <c r="B116" s="6">
        <v>6300</v>
      </c>
      <c r="C116" s="7">
        <v>13.48</v>
      </c>
      <c r="D116" s="2">
        <v>4.92</v>
      </c>
      <c r="E116" s="2">
        <v>2.42</v>
      </c>
      <c r="F116" s="2">
        <v>0.51</v>
      </c>
      <c r="G116" s="2">
        <v>0.16</v>
      </c>
      <c r="H116" s="2">
        <v>0</v>
      </c>
      <c r="I116" s="2">
        <v>0</v>
      </c>
      <c r="J116" s="2">
        <v>0</v>
      </c>
      <c r="K116" s="2">
        <v>0</v>
      </c>
    </row>
    <row r="117" spans="1:11" x14ac:dyDescent="0.25">
      <c r="A117" s="8">
        <v>6301</v>
      </c>
      <c r="B117" s="8">
        <v>6350</v>
      </c>
      <c r="C117" s="9">
        <v>13.55</v>
      </c>
      <c r="D117" s="3">
        <v>5.0599999999999996</v>
      </c>
      <c r="E117" s="3">
        <v>2.5099999999999998</v>
      </c>
      <c r="F117" s="3">
        <v>0.59</v>
      </c>
      <c r="G117" s="3">
        <v>0.17</v>
      </c>
      <c r="H117" s="3">
        <v>0</v>
      </c>
      <c r="I117" s="3">
        <v>0</v>
      </c>
      <c r="J117" s="3">
        <v>0</v>
      </c>
      <c r="K117" s="3">
        <v>0</v>
      </c>
    </row>
    <row r="118" spans="1:11" x14ac:dyDescent="0.25">
      <c r="A118" s="6">
        <v>6351</v>
      </c>
      <c r="B118" s="6">
        <v>6400</v>
      </c>
      <c r="C118" s="7">
        <v>13.63</v>
      </c>
      <c r="D118" s="2">
        <v>5.18</v>
      </c>
      <c r="E118" s="2">
        <v>2.62</v>
      </c>
      <c r="F118" s="2">
        <v>0.73</v>
      </c>
      <c r="G118" s="2">
        <v>0.2</v>
      </c>
      <c r="H118" s="2">
        <v>0</v>
      </c>
      <c r="I118" s="2">
        <v>0</v>
      </c>
      <c r="J118" s="2">
        <v>0</v>
      </c>
      <c r="K118" s="2">
        <v>0</v>
      </c>
    </row>
    <row r="119" spans="1:11" x14ac:dyDescent="0.25">
      <c r="A119" s="8">
        <v>6401</v>
      </c>
      <c r="B119" s="8">
        <v>6450</v>
      </c>
      <c r="C119" s="9">
        <v>13.7</v>
      </c>
      <c r="D119" s="3">
        <v>5.35</v>
      </c>
      <c r="E119" s="3">
        <v>2.72</v>
      </c>
      <c r="F119" s="3">
        <v>0.81</v>
      </c>
      <c r="G119" s="3">
        <v>0.22</v>
      </c>
      <c r="H119" s="3">
        <v>0.01</v>
      </c>
      <c r="I119" s="3">
        <v>0</v>
      </c>
      <c r="J119" s="3">
        <v>0</v>
      </c>
      <c r="K119" s="3">
        <v>0</v>
      </c>
    </row>
    <row r="120" spans="1:11" x14ac:dyDescent="0.25">
      <c r="A120" s="6">
        <v>6451</v>
      </c>
      <c r="B120" s="6">
        <v>6500</v>
      </c>
      <c r="C120" s="7">
        <v>13.77</v>
      </c>
      <c r="D120" s="2">
        <v>5.44</v>
      </c>
      <c r="E120" s="2">
        <v>2.92</v>
      </c>
      <c r="F120" s="2">
        <v>0.95</v>
      </c>
      <c r="G120" s="2">
        <v>0.24</v>
      </c>
      <c r="H120" s="2">
        <v>0.02</v>
      </c>
      <c r="I120" s="2">
        <v>0</v>
      </c>
      <c r="J120" s="2">
        <v>0</v>
      </c>
      <c r="K120" s="2">
        <v>0</v>
      </c>
    </row>
    <row r="121" spans="1:11" x14ac:dyDescent="0.25">
      <c r="A121" s="8">
        <v>6501</v>
      </c>
      <c r="B121" s="8">
        <v>6550</v>
      </c>
      <c r="C121" s="9">
        <v>13.84</v>
      </c>
      <c r="D121" s="3">
        <v>5.6</v>
      </c>
      <c r="E121" s="3">
        <v>3.01</v>
      </c>
      <c r="F121" s="3">
        <v>1.05</v>
      </c>
      <c r="G121" s="3">
        <v>0.25</v>
      </c>
      <c r="H121" s="3">
        <v>0.03</v>
      </c>
      <c r="I121" s="3">
        <v>0</v>
      </c>
      <c r="J121" s="3">
        <v>0</v>
      </c>
      <c r="K121" s="3">
        <v>0</v>
      </c>
    </row>
    <row r="122" spans="1:11" x14ac:dyDescent="0.25">
      <c r="A122" s="6">
        <v>6551</v>
      </c>
      <c r="B122" s="6">
        <v>6600</v>
      </c>
      <c r="C122" s="7">
        <v>13.88</v>
      </c>
      <c r="D122" s="2">
        <v>5.67</v>
      </c>
      <c r="E122" s="2">
        <v>3.1</v>
      </c>
      <c r="F122" s="2">
        <v>1.1599999999999999</v>
      </c>
      <c r="G122" s="2">
        <v>0.27</v>
      </c>
      <c r="H122" s="2">
        <v>0.04</v>
      </c>
      <c r="I122" s="2">
        <v>0</v>
      </c>
      <c r="J122" s="2">
        <v>0</v>
      </c>
      <c r="K122" s="2">
        <v>0</v>
      </c>
    </row>
    <row r="123" spans="1:11" x14ac:dyDescent="0.25">
      <c r="A123" s="8">
        <v>6601</v>
      </c>
      <c r="B123" s="8">
        <v>6650</v>
      </c>
      <c r="C123" s="9">
        <v>13.94</v>
      </c>
      <c r="D123" s="3">
        <v>5.84</v>
      </c>
      <c r="E123" s="3">
        <v>3.29</v>
      </c>
      <c r="F123" s="3">
        <v>1.23</v>
      </c>
      <c r="G123" s="3">
        <v>0.28999999999999998</v>
      </c>
      <c r="H123" s="3">
        <v>0.05</v>
      </c>
      <c r="I123" s="3">
        <v>0</v>
      </c>
      <c r="J123" s="3">
        <v>0</v>
      </c>
      <c r="K123" s="3">
        <v>0</v>
      </c>
    </row>
    <row r="124" spans="1:11" x14ac:dyDescent="0.25">
      <c r="A124" s="6">
        <v>6651</v>
      </c>
      <c r="B124" s="6">
        <v>6700</v>
      </c>
      <c r="C124" s="7">
        <v>14.01</v>
      </c>
      <c r="D124" s="2">
        <v>5.91</v>
      </c>
      <c r="E124" s="2">
        <v>3.41</v>
      </c>
      <c r="F124" s="2">
        <v>1.36</v>
      </c>
      <c r="G124" s="2">
        <v>0.31</v>
      </c>
      <c r="H124" s="2">
        <v>0.06</v>
      </c>
      <c r="I124" s="2">
        <v>0</v>
      </c>
      <c r="J124" s="2">
        <v>0</v>
      </c>
      <c r="K124" s="2">
        <v>0</v>
      </c>
    </row>
    <row r="125" spans="1:11" x14ac:dyDescent="0.25">
      <c r="A125" s="8">
        <v>6701</v>
      </c>
      <c r="B125" s="8">
        <v>6750</v>
      </c>
      <c r="C125" s="9">
        <v>14.08</v>
      </c>
      <c r="D125" s="3">
        <v>6.07</v>
      </c>
      <c r="E125" s="3">
        <v>3.56</v>
      </c>
      <c r="F125" s="3">
        <v>1.46</v>
      </c>
      <c r="G125" s="3">
        <v>0.33</v>
      </c>
      <c r="H125" s="3">
        <v>7.0000000000000007E-2</v>
      </c>
      <c r="I125" s="3">
        <v>0</v>
      </c>
      <c r="J125" s="3">
        <v>0</v>
      </c>
      <c r="K125" s="3">
        <v>0</v>
      </c>
    </row>
    <row r="126" spans="1:11" x14ac:dyDescent="0.25">
      <c r="A126" s="6">
        <v>6751</v>
      </c>
      <c r="B126" s="6">
        <v>6800</v>
      </c>
      <c r="C126" s="7">
        <v>14.14</v>
      </c>
      <c r="D126" s="2">
        <v>6.15</v>
      </c>
      <c r="E126" s="2">
        <v>3.68</v>
      </c>
      <c r="F126" s="2">
        <v>1.56</v>
      </c>
      <c r="G126" s="2">
        <v>0.35</v>
      </c>
      <c r="H126" s="2">
        <v>0.08</v>
      </c>
      <c r="I126" s="2">
        <v>0</v>
      </c>
      <c r="J126" s="2">
        <v>0</v>
      </c>
      <c r="K126" s="2">
        <v>0</v>
      </c>
    </row>
    <row r="127" spans="1:11" x14ac:dyDescent="0.25">
      <c r="A127" s="8">
        <v>6801</v>
      </c>
      <c r="B127" s="8">
        <v>6850</v>
      </c>
      <c r="C127" s="9">
        <v>14.21</v>
      </c>
      <c r="D127" s="3">
        <v>6.31</v>
      </c>
      <c r="E127" s="3">
        <v>3.82</v>
      </c>
      <c r="F127" s="3">
        <v>1.65</v>
      </c>
      <c r="G127" s="3">
        <v>0.36</v>
      </c>
      <c r="H127" s="3">
        <v>0.1</v>
      </c>
      <c r="I127" s="3">
        <v>0</v>
      </c>
      <c r="J127" s="3">
        <v>0</v>
      </c>
      <c r="K127" s="3">
        <v>0</v>
      </c>
    </row>
    <row r="128" spans="1:11" x14ac:dyDescent="0.25">
      <c r="A128" s="6">
        <v>6851</v>
      </c>
      <c r="B128" s="6">
        <v>6900</v>
      </c>
      <c r="C128" s="7">
        <v>14.24</v>
      </c>
      <c r="D128" s="2">
        <v>6.39</v>
      </c>
      <c r="E128" s="2">
        <v>3.93</v>
      </c>
      <c r="F128" s="2">
        <v>1.75</v>
      </c>
      <c r="G128" s="2">
        <v>0.38</v>
      </c>
      <c r="H128" s="2">
        <v>0.11</v>
      </c>
      <c r="I128" s="2">
        <v>0</v>
      </c>
      <c r="J128" s="2">
        <v>0</v>
      </c>
      <c r="K128" s="2">
        <v>0</v>
      </c>
    </row>
    <row r="129" spans="1:11" x14ac:dyDescent="0.25">
      <c r="A129" s="8">
        <v>6901</v>
      </c>
      <c r="B129" s="8">
        <v>6950</v>
      </c>
      <c r="C129" s="9">
        <v>14.31</v>
      </c>
      <c r="D129" s="3">
        <v>6.55</v>
      </c>
      <c r="E129" s="3">
        <v>4.07</v>
      </c>
      <c r="F129" s="3">
        <v>1.84</v>
      </c>
      <c r="G129" s="3">
        <v>0.39</v>
      </c>
      <c r="H129" s="3">
        <v>0.12</v>
      </c>
      <c r="I129" s="3">
        <v>0</v>
      </c>
      <c r="J129" s="3">
        <v>0</v>
      </c>
      <c r="K129" s="3">
        <v>0</v>
      </c>
    </row>
    <row r="130" spans="1:11" x14ac:dyDescent="0.25">
      <c r="A130" s="6">
        <v>6951</v>
      </c>
      <c r="B130" s="6">
        <v>7000</v>
      </c>
      <c r="C130" s="7">
        <v>14.38</v>
      </c>
      <c r="D130" s="2">
        <v>6.63</v>
      </c>
      <c r="E130" s="2">
        <v>4.1900000000000004</v>
      </c>
      <c r="F130" s="2">
        <v>1.94</v>
      </c>
      <c r="G130" s="2">
        <v>0.42</v>
      </c>
      <c r="H130" s="2">
        <v>0.14000000000000001</v>
      </c>
      <c r="I130" s="2">
        <v>0</v>
      </c>
      <c r="J130" s="2">
        <v>0</v>
      </c>
      <c r="K130" s="2">
        <v>0</v>
      </c>
    </row>
    <row r="131" spans="1:11" x14ac:dyDescent="0.25">
      <c r="A131" s="8">
        <v>7001</v>
      </c>
      <c r="B131" s="8">
        <v>7050</v>
      </c>
      <c r="C131" s="9">
        <v>14.44</v>
      </c>
      <c r="D131" s="3">
        <v>6.79</v>
      </c>
      <c r="E131" s="3">
        <v>4.32</v>
      </c>
      <c r="F131" s="3">
        <v>2.0299999999999998</v>
      </c>
      <c r="G131" s="3">
        <v>0.44</v>
      </c>
      <c r="H131" s="3">
        <v>0.16</v>
      </c>
      <c r="I131" s="3">
        <v>0</v>
      </c>
      <c r="J131" s="3">
        <v>0</v>
      </c>
      <c r="K131" s="3">
        <v>0</v>
      </c>
    </row>
    <row r="132" spans="1:11" x14ac:dyDescent="0.25">
      <c r="A132" s="6">
        <v>7051</v>
      </c>
      <c r="B132" s="6">
        <v>7100</v>
      </c>
      <c r="C132" s="7">
        <v>14.51</v>
      </c>
      <c r="D132" s="2">
        <v>6.89</v>
      </c>
      <c r="E132" s="2">
        <v>4.43</v>
      </c>
      <c r="F132" s="2">
        <v>2.12</v>
      </c>
      <c r="G132" s="2">
        <v>0.49</v>
      </c>
      <c r="H132" s="2">
        <v>0.18</v>
      </c>
      <c r="I132" s="2">
        <v>0</v>
      </c>
      <c r="J132" s="2">
        <v>0</v>
      </c>
      <c r="K132" s="2">
        <v>0</v>
      </c>
    </row>
    <row r="133" spans="1:11" x14ac:dyDescent="0.25">
      <c r="A133" s="8">
        <v>7101</v>
      </c>
      <c r="B133" s="8">
        <v>7150</v>
      </c>
      <c r="C133" s="9">
        <v>14.57</v>
      </c>
      <c r="D133" s="3">
        <v>7.02</v>
      </c>
      <c r="E133" s="3">
        <v>4.59</v>
      </c>
      <c r="F133" s="3">
        <v>2.2200000000000002</v>
      </c>
      <c r="G133" s="3">
        <v>0.51</v>
      </c>
      <c r="H133" s="3">
        <v>0.2</v>
      </c>
      <c r="I133" s="3">
        <v>0.01</v>
      </c>
      <c r="J133" s="3">
        <v>0</v>
      </c>
      <c r="K133" s="3">
        <v>0</v>
      </c>
    </row>
    <row r="134" spans="1:11" x14ac:dyDescent="0.25">
      <c r="A134" s="6">
        <v>7151</v>
      </c>
      <c r="B134" s="6">
        <v>7200</v>
      </c>
      <c r="C134" s="7">
        <v>14.64</v>
      </c>
      <c r="D134" s="2">
        <v>7.12</v>
      </c>
      <c r="E134" s="2">
        <v>4.67</v>
      </c>
      <c r="F134" s="2">
        <v>2.4</v>
      </c>
      <c r="G134" s="2">
        <v>0.63</v>
      </c>
      <c r="H134" s="2">
        <v>0.21</v>
      </c>
      <c r="I134" s="2">
        <v>0.02</v>
      </c>
      <c r="J134" s="2">
        <v>0</v>
      </c>
      <c r="K134" s="2">
        <v>0</v>
      </c>
    </row>
    <row r="135" spans="1:11" x14ac:dyDescent="0.25">
      <c r="A135" s="8">
        <v>7201</v>
      </c>
      <c r="B135" s="8">
        <v>7250</v>
      </c>
      <c r="C135" s="9">
        <v>14.7</v>
      </c>
      <c r="D135" s="3">
        <v>7.27</v>
      </c>
      <c r="E135" s="3">
        <v>4.83</v>
      </c>
      <c r="F135" s="3">
        <v>2.4900000000000002</v>
      </c>
      <c r="G135" s="3">
        <v>0.72</v>
      </c>
      <c r="H135" s="3">
        <v>0.23</v>
      </c>
      <c r="I135" s="3">
        <v>0.03</v>
      </c>
      <c r="J135" s="3">
        <v>0</v>
      </c>
      <c r="K135" s="3">
        <v>0</v>
      </c>
    </row>
    <row r="136" spans="1:11" x14ac:dyDescent="0.25">
      <c r="A136" s="6">
        <v>7251</v>
      </c>
      <c r="B136" s="6">
        <v>7300</v>
      </c>
      <c r="C136" s="7">
        <v>14.76</v>
      </c>
      <c r="D136" s="2">
        <v>7.35</v>
      </c>
      <c r="E136" s="2">
        <v>4.91</v>
      </c>
      <c r="F136" s="2">
        <v>2.66</v>
      </c>
      <c r="G136" s="2">
        <v>0.82</v>
      </c>
      <c r="H136" s="2">
        <v>0.25</v>
      </c>
      <c r="I136" s="2">
        <v>0.04</v>
      </c>
      <c r="J136" s="2">
        <v>0</v>
      </c>
      <c r="K136" s="2">
        <v>0</v>
      </c>
    </row>
    <row r="137" spans="1:11" x14ac:dyDescent="0.25">
      <c r="A137" s="8">
        <v>7301</v>
      </c>
      <c r="B137" s="8">
        <v>7350</v>
      </c>
      <c r="C137" s="9">
        <v>14.82</v>
      </c>
      <c r="D137" s="3">
        <v>7.54</v>
      </c>
      <c r="E137" s="3">
        <v>5.0599999999999996</v>
      </c>
      <c r="F137" s="3">
        <v>2.75</v>
      </c>
      <c r="G137" s="3">
        <v>0.91</v>
      </c>
      <c r="H137" s="3">
        <v>0.26</v>
      </c>
      <c r="I137" s="3">
        <v>0.05</v>
      </c>
      <c r="J137" s="3">
        <v>0</v>
      </c>
      <c r="K137" s="3">
        <v>0</v>
      </c>
    </row>
    <row r="138" spans="1:11" x14ac:dyDescent="0.25">
      <c r="A138" s="6">
        <v>7351</v>
      </c>
      <c r="B138" s="6">
        <v>7400</v>
      </c>
      <c r="C138" s="7">
        <v>14.88</v>
      </c>
      <c r="D138" s="2">
        <v>7.61</v>
      </c>
      <c r="E138" s="2">
        <v>5.16</v>
      </c>
      <c r="F138" s="2">
        <v>2.92</v>
      </c>
      <c r="G138" s="2">
        <v>1.01</v>
      </c>
      <c r="H138" s="2">
        <v>0.28000000000000003</v>
      </c>
      <c r="I138" s="2">
        <v>0.05</v>
      </c>
      <c r="J138" s="2">
        <v>0</v>
      </c>
      <c r="K138" s="2">
        <v>0</v>
      </c>
    </row>
    <row r="139" spans="1:11" x14ac:dyDescent="0.25">
      <c r="A139" s="8">
        <v>7401</v>
      </c>
      <c r="B139" s="8">
        <v>7450</v>
      </c>
      <c r="C139" s="9">
        <v>14.94</v>
      </c>
      <c r="D139" s="3">
        <v>7.71</v>
      </c>
      <c r="E139" s="3">
        <v>5.33</v>
      </c>
      <c r="F139" s="3">
        <v>3.04</v>
      </c>
      <c r="G139" s="3">
        <v>1.1000000000000001</v>
      </c>
      <c r="H139" s="3">
        <v>0.3</v>
      </c>
      <c r="I139" s="3">
        <v>7.0000000000000007E-2</v>
      </c>
      <c r="J139" s="3">
        <v>0</v>
      </c>
      <c r="K139" s="3">
        <v>0</v>
      </c>
    </row>
    <row r="140" spans="1:11" x14ac:dyDescent="0.25">
      <c r="A140" s="6">
        <v>7451</v>
      </c>
      <c r="B140" s="6">
        <v>7500</v>
      </c>
      <c r="C140" s="7">
        <v>15</v>
      </c>
      <c r="D140" s="2">
        <v>7.81</v>
      </c>
      <c r="E140" s="2">
        <v>5.43</v>
      </c>
      <c r="F140" s="2">
        <v>3.22</v>
      </c>
      <c r="G140" s="2">
        <v>1.22</v>
      </c>
      <c r="H140" s="2">
        <v>0.32</v>
      </c>
      <c r="I140" s="2">
        <v>7.0000000000000007E-2</v>
      </c>
      <c r="J140" s="2">
        <v>0</v>
      </c>
      <c r="K140" s="2">
        <v>0</v>
      </c>
    </row>
    <row r="141" spans="1:11" x14ac:dyDescent="0.25">
      <c r="A141" s="8">
        <v>7501</v>
      </c>
      <c r="B141" s="8">
        <v>7550</v>
      </c>
      <c r="C141" s="9">
        <v>15.06</v>
      </c>
      <c r="D141" s="3">
        <v>7.89</v>
      </c>
      <c r="E141" s="3">
        <v>5.53</v>
      </c>
      <c r="F141" s="3">
        <v>3.33</v>
      </c>
      <c r="G141" s="3">
        <v>1.29</v>
      </c>
      <c r="H141" s="3">
        <v>0.33</v>
      </c>
      <c r="I141" s="3">
        <v>0.09</v>
      </c>
      <c r="J141" s="3">
        <v>0</v>
      </c>
      <c r="K141" s="3">
        <v>0</v>
      </c>
    </row>
    <row r="142" spans="1:11" x14ac:dyDescent="0.25">
      <c r="A142" s="6">
        <v>7551</v>
      </c>
      <c r="B142" s="6">
        <v>7600</v>
      </c>
      <c r="C142" s="7">
        <v>15.11</v>
      </c>
      <c r="D142" s="2">
        <v>7.99</v>
      </c>
      <c r="E142" s="2">
        <v>5.6</v>
      </c>
      <c r="F142" s="2">
        <v>3.44</v>
      </c>
      <c r="G142" s="2">
        <v>1.43</v>
      </c>
      <c r="H142" s="2">
        <v>0.35</v>
      </c>
      <c r="I142" s="2">
        <v>0.1</v>
      </c>
      <c r="J142" s="2">
        <v>0</v>
      </c>
      <c r="K142" s="2">
        <v>0</v>
      </c>
    </row>
    <row r="143" spans="1:11" x14ac:dyDescent="0.25">
      <c r="A143" s="8">
        <v>7601</v>
      </c>
      <c r="B143" s="8">
        <v>7650</v>
      </c>
      <c r="C143" s="9">
        <v>15.17</v>
      </c>
      <c r="D143" s="3">
        <v>8.06</v>
      </c>
      <c r="E143" s="3">
        <v>5.69</v>
      </c>
      <c r="F143" s="3">
        <v>3.53</v>
      </c>
      <c r="G143" s="3">
        <v>1.52</v>
      </c>
      <c r="H143" s="3">
        <v>0.36</v>
      </c>
      <c r="I143" s="3">
        <v>0.12</v>
      </c>
      <c r="J143" s="3">
        <v>0</v>
      </c>
      <c r="K143" s="3">
        <v>0</v>
      </c>
    </row>
    <row r="144" spans="1:11" x14ac:dyDescent="0.25">
      <c r="A144" s="6">
        <v>7651</v>
      </c>
      <c r="B144" s="6">
        <v>7700</v>
      </c>
      <c r="C144" s="7">
        <v>15.22</v>
      </c>
      <c r="D144" s="2">
        <v>8.16</v>
      </c>
      <c r="E144" s="2">
        <v>5.76</v>
      </c>
      <c r="F144" s="2">
        <v>3.63</v>
      </c>
      <c r="G144" s="2">
        <v>1.58</v>
      </c>
      <c r="H144" s="2">
        <v>0.4</v>
      </c>
      <c r="I144" s="2">
        <v>0.14000000000000001</v>
      </c>
      <c r="J144" s="2">
        <v>0</v>
      </c>
      <c r="K144" s="2">
        <v>0</v>
      </c>
    </row>
    <row r="145" spans="1:11" x14ac:dyDescent="0.25">
      <c r="A145" s="8">
        <v>7701</v>
      </c>
      <c r="B145" s="8">
        <v>7750</v>
      </c>
      <c r="C145" s="9">
        <v>15.28</v>
      </c>
      <c r="D145" s="3">
        <v>8.25</v>
      </c>
      <c r="E145" s="3">
        <v>5.85</v>
      </c>
      <c r="F145" s="3">
        <v>3.71</v>
      </c>
      <c r="G145" s="3">
        <v>1.66</v>
      </c>
      <c r="H145" s="3">
        <v>0.43</v>
      </c>
      <c r="I145" s="3">
        <v>0.16</v>
      </c>
      <c r="J145" s="3">
        <v>0</v>
      </c>
      <c r="K145" s="3">
        <v>0</v>
      </c>
    </row>
    <row r="146" spans="1:11" x14ac:dyDescent="0.25">
      <c r="A146" s="6">
        <v>7751</v>
      </c>
      <c r="B146" s="6">
        <v>7800</v>
      </c>
      <c r="C146" s="7">
        <v>15.33</v>
      </c>
      <c r="D146" s="2">
        <v>8.32</v>
      </c>
      <c r="E146" s="2">
        <v>5.95</v>
      </c>
      <c r="F146" s="2">
        <v>3.82</v>
      </c>
      <c r="G146" s="2">
        <v>1.72</v>
      </c>
      <c r="H146" s="2">
        <v>0.46</v>
      </c>
      <c r="I146" s="2">
        <v>0.17</v>
      </c>
      <c r="J146" s="2">
        <v>0</v>
      </c>
      <c r="K146" s="2">
        <v>0</v>
      </c>
    </row>
    <row r="147" spans="1:11" x14ac:dyDescent="0.25">
      <c r="A147" s="8">
        <v>7801</v>
      </c>
      <c r="B147" s="8">
        <v>7850</v>
      </c>
      <c r="C147" s="9">
        <v>15.41</v>
      </c>
      <c r="D147" s="3">
        <v>8.43</v>
      </c>
      <c r="E147" s="3">
        <v>6.05</v>
      </c>
      <c r="F147" s="3">
        <v>3.93</v>
      </c>
      <c r="G147" s="3">
        <v>1.85</v>
      </c>
      <c r="H147" s="3">
        <v>0.49</v>
      </c>
      <c r="I147" s="3">
        <v>0.19</v>
      </c>
      <c r="J147" s="3">
        <v>0.02</v>
      </c>
      <c r="K147" s="3">
        <v>0</v>
      </c>
    </row>
    <row r="148" spans="1:11" x14ac:dyDescent="0.25">
      <c r="A148" s="6">
        <v>7851</v>
      </c>
      <c r="B148" s="6">
        <v>7900</v>
      </c>
      <c r="C148" s="7">
        <v>15.47</v>
      </c>
      <c r="D148" s="2">
        <v>8.52</v>
      </c>
      <c r="E148" s="2">
        <v>6.11</v>
      </c>
      <c r="F148" s="2">
        <v>4.04</v>
      </c>
      <c r="G148" s="2">
        <v>1.94</v>
      </c>
      <c r="H148" s="2">
        <v>0.52</v>
      </c>
      <c r="I148" s="2">
        <v>0.21</v>
      </c>
      <c r="J148" s="2">
        <v>0.02</v>
      </c>
      <c r="K148" s="2">
        <v>0</v>
      </c>
    </row>
    <row r="149" spans="1:11" x14ac:dyDescent="0.25">
      <c r="A149" s="8">
        <v>7901</v>
      </c>
      <c r="B149" s="8">
        <v>7950</v>
      </c>
      <c r="C149" s="9">
        <v>15.53</v>
      </c>
      <c r="D149" s="3">
        <v>8.61</v>
      </c>
      <c r="E149" s="3">
        <v>6.2</v>
      </c>
      <c r="F149" s="3">
        <v>4.1100000000000003</v>
      </c>
      <c r="G149" s="3">
        <v>2.0499999999999998</v>
      </c>
      <c r="H149" s="3">
        <v>0.54</v>
      </c>
      <c r="I149" s="3">
        <v>0.22</v>
      </c>
      <c r="J149" s="3">
        <v>0.03</v>
      </c>
      <c r="K149" s="3">
        <v>0</v>
      </c>
    </row>
    <row r="150" spans="1:11" x14ac:dyDescent="0.25">
      <c r="A150" s="6">
        <v>7951</v>
      </c>
      <c r="B150" s="6">
        <v>8000</v>
      </c>
      <c r="C150" s="7">
        <v>15.58</v>
      </c>
      <c r="D150" s="2">
        <v>8.68</v>
      </c>
      <c r="E150" s="2">
        <v>6.28</v>
      </c>
      <c r="F150" s="2">
        <v>4.21</v>
      </c>
      <c r="G150" s="2">
        <v>2.14</v>
      </c>
      <c r="H150" s="2">
        <v>0.56000000000000005</v>
      </c>
      <c r="I150" s="2">
        <v>0.23</v>
      </c>
      <c r="J150" s="2">
        <v>0.04</v>
      </c>
      <c r="K150" s="2">
        <v>0</v>
      </c>
    </row>
    <row r="151" spans="1:11" x14ac:dyDescent="0.25">
      <c r="A151" s="8">
        <v>8001</v>
      </c>
      <c r="B151" s="8">
        <v>8050</v>
      </c>
      <c r="C151" s="9">
        <v>15.64</v>
      </c>
      <c r="D151" s="3">
        <v>8.77</v>
      </c>
      <c r="E151" s="3">
        <v>6.35</v>
      </c>
      <c r="F151" s="3">
        <v>4.3099999999999996</v>
      </c>
      <c r="G151" s="3">
        <v>2.25</v>
      </c>
      <c r="H151" s="3">
        <v>0.6</v>
      </c>
      <c r="I151" s="3">
        <v>0.24</v>
      </c>
      <c r="J151" s="3">
        <v>0.04</v>
      </c>
      <c r="K151" s="3">
        <v>0</v>
      </c>
    </row>
    <row r="152" spans="1:11" x14ac:dyDescent="0.25">
      <c r="A152" s="6">
        <v>8051</v>
      </c>
      <c r="B152" s="6">
        <v>8100</v>
      </c>
      <c r="C152" s="7">
        <v>15.69</v>
      </c>
      <c r="D152" s="2">
        <v>8.84</v>
      </c>
      <c r="E152" s="2">
        <v>6.43</v>
      </c>
      <c r="F152" s="2">
        <v>4.38</v>
      </c>
      <c r="G152" s="2">
        <v>2.36</v>
      </c>
      <c r="H152" s="2">
        <v>0.68</v>
      </c>
      <c r="I152" s="2">
        <v>0.26</v>
      </c>
      <c r="J152" s="2">
        <v>0.05</v>
      </c>
      <c r="K152" s="2">
        <v>0</v>
      </c>
    </row>
    <row r="153" spans="1:11" x14ac:dyDescent="0.25">
      <c r="A153" s="8">
        <v>8101</v>
      </c>
      <c r="B153" s="8">
        <v>8150</v>
      </c>
      <c r="C153" s="9">
        <v>15.75</v>
      </c>
      <c r="D153" s="3">
        <v>8.92</v>
      </c>
      <c r="E153" s="3">
        <v>6.49</v>
      </c>
      <c r="F153" s="3">
        <v>4.4800000000000004</v>
      </c>
      <c r="G153" s="3">
        <v>2.4500000000000002</v>
      </c>
      <c r="H153" s="3">
        <v>0.77</v>
      </c>
      <c r="I153" s="3">
        <v>0.27</v>
      </c>
      <c r="J153" s="3">
        <v>0.06</v>
      </c>
      <c r="K153" s="3">
        <v>0</v>
      </c>
    </row>
    <row r="154" spans="1:11" x14ac:dyDescent="0.25">
      <c r="A154" s="6">
        <v>8151</v>
      </c>
      <c r="B154" s="6">
        <v>8200</v>
      </c>
      <c r="C154" s="7">
        <v>15.8</v>
      </c>
      <c r="D154" s="2">
        <v>9.01</v>
      </c>
      <c r="E154" s="2">
        <v>6.57</v>
      </c>
      <c r="F154" s="2">
        <v>4.55</v>
      </c>
      <c r="G154" s="2">
        <v>2.56</v>
      </c>
      <c r="H154" s="2">
        <v>0.83</v>
      </c>
      <c r="I154" s="2">
        <v>0.28000000000000003</v>
      </c>
      <c r="J154" s="2">
        <v>0.06</v>
      </c>
      <c r="K154" s="2">
        <v>0</v>
      </c>
    </row>
    <row r="155" spans="1:11" x14ac:dyDescent="0.25">
      <c r="A155" s="8">
        <v>8201</v>
      </c>
      <c r="B155" s="8">
        <v>8250</v>
      </c>
      <c r="C155" s="9">
        <v>15.87</v>
      </c>
      <c r="D155" s="3">
        <v>9.07</v>
      </c>
      <c r="E155" s="3">
        <v>6.66</v>
      </c>
      <c r="F155" s="3">
        <v>4.6500000000000004</v>
      </c>
      <c r="G155" s="3">
        <v>2.64</v>
      </c>
      <c r="H155" s="3">
        <v>0.91</v>
      </c>
      <c r="I155" s="3">
        <v>0.28999999999999998</v>
      </c>
      <c r="J155" s="3">
        <v>7.0000000000000007E-2</v>
      </c>
      <c r="K155" s="3">
        <v>0</v>
      </c>
    </row>
    <row r="156" spans="1:11" x14ac:dyDescent="0.25">
      <c r="A156" s="6">
        <v>8251</v>
      </c>
      <c r="B156" s="6">
        <v>8300</v>
      </c>
      <c r="C156" s="7">
        <v>15.94</v>
      </c>
      <c r="D156" s="2">
        <v>9.15</v>
      </c>
      <c r="E156" s="2">
        <v>6.72</v>
      </c>
      <c r="F156" s="2">
        <v>4.74</v>
      </c>
      <c r="G156" s="2">
        <v>2.74</v>
      </c>
      <c r="H156" s="2">
        <v>0.97</v>
      </c>
      <c r="I156" s="2">
        <v>0.31</v>
      </c>
      <c r="J156" s="2">
        <v>0.08</v>
      </c>
      <c r="K156" s="2">
        <v>0</v>
      </c>
    </row>
    <row r="157" spans="1:11" x14ac:dyDescent="0.25">
      <c r="A157" s="8">
        <v>8301</v>
      </c>
      <c r="B157" s="8">
        <v>8350</v>
      </c>
      <c r="C157" s="9">
        <v>16</v>
      </c>
      <c r="D157" s="3">
        <v>9.2100000000000009</v>
      </c>
      <c r="E157" s="3">
        <v>6.8</v>
      </c>
      <c r="F157" s="3">
        <v>4.8099999999999996</v>
      </c>
      <c r="G157" s="3">
        <v>2.85</v>
      </c>
      <c r="H157" s="3">
        <v>1.05</v>
      </c>
      <c r="I157" s="3">
        <v>0.32</v>
      </c>
      <c r="J157" s="3">
        <v>0.1</v>
      </c>
      <c r="K157" s="3">
        <v>0</v>
      </c>
    </row>
    <row r="158" spans="1:11" x14ac:dyDescent="0.25">
      <c r="A158" s="6">
        <v>8351</v>
      </c>
      <c r="B158" s="6">
        <v>8400</v>
      </c>
      <c r="C158" s="7">
        <v>16.07</v>
      </c>
      <c r="D158" s="2">
        <v>9.2899999999999991</v>
      </c>
      <c r="E158" s="2">
        <v>6.86</v>
      </c>
      <c r="F158" s="2">
        <v>4.9000000000000004</v>
      </c>
      <c r="G158" s="2">
        <v>2.93</v>
      </c>
      <c r="H158" s="2">
        <v>1.1200000000000001</v>
      </c>
      <c r="I158" s="2">
        <v>0.33</v>
      </c>
      <c r="J158" s="2">
        <v>0.11</v>
      </c>
      <c r="K158" s="2">
        <v>0</v>
      </c>
    </row>
    <row r="159" spans="1:11" x14ac:dyDescent="0.25">
      <c r="A159" s="8">
        <v>8401</v>
      </c>
      <c r="B159" s="8">
        <v>8450</v>
      </c>
      <c r="C159" s="9">
        <v>16.13</v>
      </c>
      <c r="D159" s="3">
        <v>9.3699999999999992</v>
      </c>
      <c r="E159" s="3">
        <v>6.94</v>
      </c>
      <c r="F159" s="3">
        <v>4.97</v>
      </c>
      <c r="G159" s="3">
        <v>3.03</v>
      </c>
      <c r="H159" s="3">
        <v>1.18</v>
      </c>
      <c r="I159" s="3">
        <v>0.35</v>
      </c>
      <c r="J159" s="3">
        <v>0.12</v>
      </c>
      <c r="K159" s="3">
        <v>0</v>
      </c>
    </row>
    <row r="160" spans="1:11" x14ac:dyDescent="0.25">
      <c r="A160" s="6">
        <v>8451</v>
      </c>
      <c r="B160" s="6">
        <v>8500</v>
      </c>
      <c r="C160" s="7">
        <v>16.2</v>
      </c>
      <c r="D160" s="2">
        <v>9.43</v>
      </c>
      <c r="E160" s="2">
        <v>7.02</v>
      </c>
      <c r="F160" s="2">
        <v>5.05</v>
      </c>
      <c r="G160" s="2">
        <v>3.1</v>
      </c>
      <c r="H160" s="2">
        <v>1.26</v>
      </c>
      <c r="I160" s="2">
        <v>0.37</v>
      </c>
      <c r="J160" s="2">
        <v>0.14000000000000001</v>
      </c>
      <c r="K160" s="2">
        <v>0</v>
      </c>
    </row>
    <row r="161" spans="1:11" x14ac:dyDescent="0.25">
      <c r="A161" s="8">
        <v>8501</v>
      </c>
      <c r="B161" s="8">
        <v>8550</v>
      </c>
      <c r="C161" s="9">
        <v>16.260000000000002</v>
      </c>
      <c r="D161" s="3">
        <v>9.51</v>
      </c>
      <c r="E161" s="3">
        <v>7.08</v>
      </c>
      <c r="F161" s="3">
        <v>5.14</v>
      </c>
      <c r="G161" s="3">
        <v>3.2</v>
      </c>
      <c r="H161" s="3">
        <v>1.31</v>
      </c>
      <c r="I161" s="3">
        <v>0.39</v>
      </c>
      <c r="J161" s="3">
        <v>0.15</v>
      </c>
      <c r="K161" s="3">
        <v>0</v>
      </c>
    </row>
    <row r="162" spans="1:11" x14ac:dyDescent="0.25">
      <c r="A162" s="6">
        <v>8551</v>
      </c>
      <c r="B162" s="6">
        <v>8600</v>
      </c>
      <c r="C162" s="7">
        <v>16.32</v>
      </c>
      <c r="D162" s="2">
        <v>9.57</v>
      </c>
      <c r="E162" s="2">
        <v>7.16</v>
      </c>
      <c r="F162" s="2">
        <v>5.21</v>
      </c>
      <c r="G162" s="2">
        <v>3.3</v>
      </c>
      <c r="H162" s="2">
        <v>1.39</v>
      </c>
      <c r="I162" s="2">
        <v>0.41</v>
      </c>
      <c r="J162" s="2">
        <v>0.16</v>
      </c>
      <c r="K162" s="2">
        <v>0.01</v>
      </c>
    </row>
    <row r="163" spans="1:11" x14ac:dyDescent="0.25">
      <c r="A163" s="8">
        <v>8601</v>
      </c>
      <c r="B163" s="8">
        <v>8650</v>
      </c>
      <c r="C163" s="9">
        <v>16.38</v>
      </c>
      <c r="D163" s="3">
        <v>9.65</v>
      </c>
      <c r="E163" s="3">
        <v>7.22</v>
      </c>
      <c r="F163" s="3">
        <v>5.29</v>
      </c>
      <c r="G163" s="3">
        <v>3.38</v>
      </c>
      <c r="H163" s="3">
        <v>1.49</v>
      </c>
      <c r="I163" s="3">
        <v>0.44</v>
      </c>
      <c r="J163" s="3">
        <v>0.17</v>
      </c>
      <c r="K163" s="3">
        <v>0.02</v>
      </c>
    </row>
    <row r="164" spans="1:11" x14ac:dyDescent="0.25">
      <c r="A164" s="6">
        <v>8651</v>
      </c>
      <c r="B164" s="6">
        <v>8700</v>
      </c>
      <c r="C164" s="7">
        <v>16.440000000000001</v>
      </c>
      <c r="D164" s="2">
        <v>9.7200000000000006</v>
      </c>
      <c r="E164" s="2">
        <v>7.31</v>
      </c>
      <c r="F164" s="2">
        <v>5.36</v>
      </c>
      <c r="G164" s="2">
        <v>3.47</v>
      </c>
      <c r="H164" s="2">
        <v>1.57</v>
      </c>
      <c r="I164" s="2">
        <v>0.47</v>
      </c>
      <c r="J164" s="2">
        <v>0.19</v>
      </c>
      <c r="K164" s="2">
        <v>0.02</v>
      </c>
    </row>
    <row r="165" spans="1:11" x14ac:dyDescent="0.25">
      <c r="A165" s="8">
        <v>8701</v>
      </c>
      <c r="B165" s="8">
        <v>8750</v>
      </c>
      <c r="C165" s="9">
        <v>16.5</v>
      </c>
      <c r="D165" s="3">
        <v>9.7799999999999994</v>
      </c>
      <c r="E165" s="3">
        <v>7.4</v>
      </c>
      <c r="F165" s="3">
        <v>5.44</v>
      </c>
      <c r="G165" s="3">
        <v>3.54</v>
      </c>
      <c r="H165" s="3">
        <v>1.67</v>
      </c>
      <c r="I165" s="3">
        <v>0.49</v>
      </c>
      <c r="J165" s="3">
        <v>0.2</v>
      </c>
      <c r="K165" s="3">
        <v>0.03</v>
      </c>
    </row>
    <row r="166" spans="1:11" x14ac:dyDescent="0.25">
      <c r="A166" s="6">
        <v>8751</v>
      </c>
      <c r="B166" s="6">
        <v>8800</v>
      </c>
      <c r="C166" s="7">
        <v>16.559999999999999</v>
      </c>
      <c r="D166" s="2">
        <v>9.85</v>
      </c>
      <c r="E166" s="2">
        <v>7.47</v>
      </c>
      <c r="F166" s="2">
        <v>5.52</v>
      </c>
      <c r="G166" s="2">
        <v>3.64</v>
      </c>
      <c r="H166" s="2">
        <v>1.75</v>
      </c>
      <c r="I166" s="2">
        <v>0.51</v>
      </c>
      <c r="J166" s="2">
        <v>0.21</v>
      </c>
      <c r="K166" s="2">
        <v>0.03</v>
      </c>
    </row>
    <row r="167" spans="1:11" x14ac:dyDescent="0.25">
      <c r="A167" s="8">
        <v>8801</v>
      </c>
      <c r="B167" s="8">
        <v>8850</v>
      </c>
      <c r="C167" s="9">
        <v>16.63</v>
      </c>
      <c r="D167" s="3">
        <v>9.91</v>
      </c>
      <c r="E167" s="3">
        <v>7.55</v>
      </c>
      <c r="F167" s="3">
        <v>5.58</v>
      </c>
      <c r="G167" s="3">
        <v>3.73</v>
      </c>
      <c r="H167" s="3">
        <v>1.86</v>
      </c>
      <c r="I167" s="3">
        <v>0.53</v>
      </c>
      <c r="J167" s="3">
        <v>0.22</v>
      </c>
      <c r="K167" s="3">
        <v>0.04</v>
      </c>
    </row>
    <row r="168" spans="1:11" x14ac:dyDescent="0.25">
      <c r="A168" s="6">
        <v>8851</v>
      </c>
      <c r="B168" s="6">
        <v>8900</v>
      </c>
      <c r="C168" s="7">
        <v>16.690000000000001</v>
      </c>
      <c r="D168" s="2">
        <v>9.98</v>
      </c>
      <c r="E168" s="2">
        <v>7.62</v>
      </c>
      <c r="F168" s="2">
        <v>5.66</v>
      </c>
      <c r="G168" s="2">
        <v>3.8</v>
      </c>
      <c r="H168" s="2">
        <v>1.96</v>
      </c>
      <c r="I168" s="2">
        <v>0.56000000000000005</v>
      </c>
      <c r="J168" s="2">
        <v>0.23</v>
      </c>
      <c r="K168" s="2">
        <v>0.05</v>
      </c>
    </row>
    <row r="169" spans="1:11" x14ac:dyDescent="0.25">
      <c r="A169" s="8">
        <v>8901</v>
      </c>
      <c r="B169" s="8">
        <v>8950</v>
      </c>
      <c r="C169" s="9">
        <v>16.75</v>
      </c>
      <c r="D169" s="3">
        <v>10.050000000000001</v>
      </c>
      <c r="E169" s="3">
        <v>7.71</v>
      </c>
      <c r="F169" s="3">
        <v>5.72</v>
      </c>
      <c r="G169" s="3">
        <v>3.89</v>
      </c>
      <c r="H169" s="3">
        <v>2.04</v>
      </c>
      <c r="I169" s="3">
        <v>0.57999999999999996</v>
      </c>
      <c r="J169" s="3">
        <v>0.25</v>
      </c>
      <c r="K169" s="3">
        <v>0.05</v>
      </c>
    </row>
    <row r="170" spans="1:11" x14ac:dyDescent="0.25">
      <c r="A170" s="6">
        <v>8951</v>
      </c>
      <c r="B170" s="6">
        <v>9000</v>
      </c>
      <c r="C170" s="7">
        <v>16.809999999999999</v>
      </c>
      <c r="D170" s="2">
        <v>10.1</v>
      </c>
      <c r="E170" s="2">
        <v>7.79</v>
      </c>
      <c r="F170" s="2">
        <v>5.8</v>
      </c>
      <c r="G170" s="2">
        <v>3.96</v>
      </c>
      <c r="H170" s="2">
        <v>2.14</v>
      </c>
      <c r="I170" s="2">
        <v>0.6</v>
      </c>
      <c r="J170" s="2">
        <v>0.26</v>
      </c>
      <c r="K170" s="2">
        <v>0.06</v>
      </c>
    </row>
    <row r="171" spans="1:11" x14ac:dyDescent="0.25">
      <c r="A171" s="8">
        <v>9001</v>
      </c>
      <c r="B171" s="8">
        <v>9050</v>
      </c>
      <c r="C171" s="9">
        <v>16.88</v>
      </c>
      <c r="D171" s="3">
        <v>10.17</v>
      </c>
      <c r="E171" s="3">
        <v>7.86</v>
      </c>
      <c r="F171" s="3">
        <v>5.88</v>
      </c>
      <c r="G171" s="3">
        <v>4.05</v>
      </c>
      <c r="H171" s="3">
        <v>2.2200000000000002</v>
      </c>
      <c r="I171" s="3">
        <v>0.64</v>
      </c>
      <c r="J171" s="3">
        <v>0.27</v>
      </c>
      <c r="K171" s="3">
        <v>7.0000000000000007E-2</v>
      </c>
    </row>
    <row r="172" spans="1:11" x14ac:dyDescent="0.25">
      <c r="A172" s="6">
        <v>9051</v>
      </c>
      <c r="B172" s="6">
        <v>9100</v>
      </c>
      <c r="C172" s="7">
        <v>16.940000000000001</v>
      </c>
      <c r="D172" s="2">
        <v>10.23</v>
      </c>
      <c r="E172" s="2">
        <v>7.94</v>
      </c>
      <c r="F172" s="2">
        <v>5.94</v>
      </c>
      <c r="G172" s="2">
        <v>4.1399999999999997</v>
      </c>
      <c r="H172" s="2">
        <v>2.3199999999999998</v>
      </c>
      <c r="I172" s="2">
        <v>0.7</v>
      </c>
      <c r="J172" s="2">
        <v>0.28000000000000003</v>
      </c>
      <c r="K172" s="2">
        <v>0.08</v>
      </c>
    </row>
    <row r="173" spans="1:11" x14ac:dyDescent="0.25">
      <c r="A173" s="8">
        <v>9101</v>
      </c>
      <c r="B173" s="8">
        <v>9150</v>
      </c>
      <c r="C173" s="9">
        <v>17</v>
      </c>
      <c r="D173" s="3">
        <v>10.29</v>
      </c>
      <c r="E173" s="3">
        <v>8</v>
      </c>
      <c r="F173" s="3">
        <v>6.02</v>
      </c>
      <c r="G173" s="3">
        <v>4.2</v>
      </c>
      <c r="H173" s="3">
        <v>2.42</v>
      </c>
      <c r="I173" s="3">
        <v>0.77</v>
      </c>
      <c r="J173" s="3">
        <v>0.28999999999999998</v>
      </c>
      <c r="K173" s="3">
        <v>0.09</v>
      </c>
    </row>
    <row r="174" spans="1:11" x14ac:dyDescent="0.25">
      <c r="A174" s="6">
        <v>9151</v>
      </c>
      <c r="B174" s="6">
        <v>9200</v>
      </c>
      <c r="C174" s="7">
        <v>17.059999999999999</v>
      </c>
      <c r="D174" s="2">
        <v>10.36</v>
      </c>
      <c r="E174" s="2">
        <v>8.08</v>
      </c>
      <c r="F174" s="2">
        <v>6.08</v>
      </c>
      <c r="G174" s="2">
        <v>4.29</v>
      </c>
      <c r="H174" s="2">
        <v>2.4900000000000002</v>
      </c>
      <c r="I174" s="2">
        <v>0.84</v>
      </c>
      <c r="J174" s="2">
        <v>0.3</v>
      </c>
      <c r="K174" s="2">
        <v>0.1</v>
      </c>
    </row>
    <row r="175" spans="1:11" x14ac:dyDescent="0.25">
      <c r="A175" s="8">
        <v>9201</v>
      </c>
      <c r="B175" s="8">
        <v>9250</v>
      </c>
      <c r="C175" s="9">
        <v>17.12</v>
      </c>
      <c r="D175" s="3">
        <v>10.41</v>
      </c>
      <c r="E175" s="3">
        <v>8.16</v>
      </c>
      <c r="F175" s="3">
        <v>6.16</v>
      </c>
      <c r="G175" s="3">
        <v>4.3499999999999996</v>
      </c>
      <c r="H175" s="3">
        <v>2.58</v>
      </c>
      <c r="I175" s="3">
        <v>0.9</v>
      </c>
      <c r="J175" s="3">
        <v>0.32</v>
      </c>
      <c r="K175" s="3">
        <v>0.11</v>
      </c>
    </row>
    <row r="176" spans="1:11" x14ac:dyDescent="0.25">
      <c r="A176" s="6">
        <v>9251</v>
      </c>
      <c r="B176" s="6">
        <v>9300</v>
      </c>
      <c r="C176" s="7">
        <v>17.18</v>
      </c>
      <c r="D176" s="2">
        <v>10.48</v>
      </c>
      <c r="E176" s="2">
        <v>8.2200000000000006</v>
      </c>
      <c r="F176" s="2">
        <v>6.24</v>
      </c>
      <c r="G176" s="2">
        <v>4.4400000000000004</v>
      </c>
      <c r="H176" s="2">
        <v>2.66</v>
      </c>
      <c r="I176" s="2">
        <v>0.97</v>
      </c>
      <c r="J176" s="2">
        <v>0.34</v>
      </c>
      <c r="K176" s="2">
        <v>0.13</v>
      </c>
    </row>
    <row r="177" spans="1:11" x14ac:dyDescent="0.25">
      <c r="A177" s="8">
        <v>9301</v>
      </c>
      <c r="B177" s="8">
        <v>9350</v>
      </c>
      <c r="C177" s="9">
        <v>17.239999999999998</v>
      </c>
      <c r="D177" s="3">
        <v>10.54</v>
      </c>
      <c r="E177" s="3">
        <v>8.3000000000000007</v>
      </c>
      <c r="F177" s="3">
        <v>6.29</v>
      </c>
      <c r="G177" s="3">
        <v>4.5199999999999996</v>
      </c>
      <c r="H177" s="3">
        <v>2.75</v>
      </c>
      <c r="I177" s="3">
        <v>1.02</v>
      </c>
      <c r="J177" s="3">
        <v>0.36</v>
      </c>
      <c r="K177" s="3">
        <v>0.14000000000000001</v>
      </c>
    </row>
    <row r="178" spans="1:11" x14ac:dyDescent="0.25">
      <c r="A178" s="6">
        <v>9351</v>
      </c>
      <c r="B178" s="6">
        <v>9400</v>
      </c>
      <c r="C178" s="7">
        <v>17.3</v>
      </c>
      <c r="D178" s="2">
        <v>10.61</v>
      </c>
      <c r="E178" s="2">
        <v>8.36</v>
      </c>
      <c r="F178" s="2">
        <v>6.37</v>
      </c>
      <c r="G178" s="2">
        <v>4.58</v>
      </c>
      <c r="H178" s="2">
        <v>2.84</v>
      </c>
      <c r="I178" s="2">
        <v>1.0900000000000001</v>
      </c>
      <c r="J178" s="2">
        <v>0.38</v>
      </c>
      <c r="K178" s="2">
        <v>0.15</v>
      </c>
    </row>
    <row r="179" spans="1:11" x14ac:dyDescent="0.25">
      <c r="A179" s="8">
        <v>9401</v>
      </c>
      <c r="B179" s="8">
        <v>9450</v>
      </c>
      <c r="C179" s="9">
        <v>17.350000000000001</v>
      </c>
      <c r="D179" s="3">
        <v>10.68</v>
      </c>
      <c r="E179" s="3">
        <v>8.44</v>
      </c>
      <c r="F179" s="3">
        <v>6.42</v>
      </c>
      <c r="G179" s="3">
        <v>4.67</v>
      </c>
      <c r="H179" s="3">
        <v>2.91</v>
      </c>
      <c r="I179" s="3">
        <v>1.18</v>
      </c>
      <c r="J179" s="3">
        <v>0.4</v>
      </c>
      <c r="K179" s="3">
        <v>0.16</v>
      </c>
    </row>
    <row r="180" spans="1:11" x14ac:dyDescent="0.25">
      <c r="A180" s="6">
        <v>9451</v>
      </c>
      <c r="B180" s="6">
        <v>9500</v>
      </c>
      <c r="C180" s="7">
        <v>17.41</v>
      </c>
      <c r="D180" s="2">
        <v>10.73</v>
      </c>
      <c r="E180" s="2">
        <v>8.51</v>
      </c>
      <c r="F180" s="2">
        <v>6.5</v>
      </c>
      <c r="G180" s="2">
        <v>4.7300000000000004</v>
      </c>
      <c r="H180" s="2">
        <v>3</v>
      </c>
      <c r="I180" s="2">
        <v>1.26</v>
      </c>
      <c r="J180" s="2">
        <v>0.43</v>
      </c>
      <c r="K180" s="2">
        <v>0.17</v>
      </c>
    </row>
    <row r="181" spans="1:11" x14ac:dyDescent="0.25">
      <c r="A181" s="8">
        <v>9501</v>
      </c>
      <c r="B181" s="8">
        <v>9550</v>
      </c>
      <c r="C181" s="9">
        <v>17.47</v>
      </c>
      <c r="D181" s="3">
        <v>10.81</v>
      </c>
      <c r="E181" s="3">
        <v>8.57</v>
      </c>
      <c r="F181" s="3">
        <v>6.57</v>
      </c>
      <c r="G181" s="3">
        <v>4.8099999999999996</v>
      </c>
      <c r="H181" s="3">
        <v>3.07</v>
      </c>
      <c r="I181" s="3">
        <v>1.36</v>
      </c>
      <c r="J181" s="3">
        <v>0.45</v>
      </c>
      <c r="K181" s="3">
        <v>0.18</v>
      </c>
    </row>
    <row r="182" spans="1:11" x14ac:dyDescent="0.25">
      <c r="A182" s="6">
        <v>9551</v>
      </c>
      <c r="B182" s="6">
        <v>9600</v>
      </c>
      <c r="C182" s="7">
        <v>17.52</v>
      </c>
      <c r="D182" s="2">
        <v>10.86</v>
      </c>
      <c r="E182" s="2">
        <v>8.64</v>
      </c>
      <c r="F182" s="2">
        <v>6.62</v>
      </c>
      <c r="G182" s="2">
        <v>4.8899999999999997</v>
      </c>
      <c r="H182" s="2">
        <v>3.16</v>
      </c>
      <c r="I182" s="2">
        <v>1.43</v>
      </c>
      <c r="J182" s="2">
        <v>0.47</v>
      </c>
      <c r="K182" s="2">
        <v>0.19</v>
      </c>
    </row>
    <row r="183" spans="1:11" x14ac:dyDescent="0.25">
      <c r="A183" s="8">
        <v>9601</v>
      </c>
      <c r="B183" s="8">
        <v>9650</v>
      </c>
      <c r="C183" s="9">
        <v>17.579999999999998</v>
      </c>
      <c r="D183" s="3">
        <v>10.93</v>
      </c>
      <c r="E183" s="3">
        <v>8.6999999999999993</v>
      </c>
      <c r="F183" s="3">
        <v>6.69</v>
      </c>
      <c r="G183" s="3">
        <v>4.95</v>
      </c>
      <c r="H183" s="3">
        <v>3.25</v>
      </c>
      <c r="I183" s="3">
        <v>1.53</v>
      </c>
      <c r="J183" s="3">
        <v>0.49</v>
      </c>
      <c r="K183" s="3">
        <v>0.2</v>
      </c>
    </row>
    <row r="184" spans="1:11" x14ac:dyDescent="0.25">
      <c r="A184" s="6">
        <v>9651</v>
      </c>
      <c r="B184" s="6">
        <v>9700</v>
      </c>
      <c r="C184" s="7">
        <v>17.63</v>
      </c>
      <c r="D184" s="2">
        <v>11</v>
      </c>
      <c r="E184" s="2">
        <v>8.77</v>
      </c>
      <c r="F184" s="2">
        <v>6.75</v>
      </c>
      <c r="G184" s="2">
        <v>5.0199999999999996</v>
      </c>
      <c r="H184" s="2">
        <v>3.32</v>
      </c>
      <c r="I184" s="2">
        <v>1.63</v>
      </c>
      <c r="J184" s="2">
        <v>0.51</v>
      </c>
      <c r="K184" s="2">
        <v>0.21</v>
      </c>
    </row>
    <row r="185" spans="1:11" x14ac:dyDescent="0.25">
      <c r="A185" s="8">
        <v>9701</v>
      </c>
      <c r="B185" s="8">
        <v>9750</v>
      </c>
      <c r="C185" s="9">
        <v>17.68</v>
      </c>
      <c r="D185" s="3">
        <v>11.05</v>
      </c>
      <c r="E185" s="3">
        <v>8.84</v>
      </c>
      <c r="F185" s="3">
        <v>6.82</v>
      </c>
      <c r="G185" s="3">
        <v>5.08</v>
      </c>
      <c r="H185" s="3">
        <v>3.4</v>
      </c>
      <c r="I185" s="3">
        <v>1.7</v>
      </c>
      <c r="J185" s="3">
        <v>0.53</v>
      </c>
      <c r="K185" s="3">
        <v>0.22</v>
      </c>
    </row>
    <row r="186" spans="1:11" x14ac:dyDescent="0.25">
      <c r="A186" s="6">
        <v>9751</v>
      </c>
      <c r="B186" s="6">
        <v>9800</v>
      </c>
      <c r="C186" s="7">
        <v>17.739999999999998</v>
      </c>
      <c r="D186" s="2">
        <v>11.11</v>
      </c>
      <c r="E186" s="2">
        <v>8.9</v>
      </c>
      <c r="F186" s="2">
        <v>6.89</v>
      </c>
      <c r="G186" s="2">
        <v>5.16</v>
      </c>
      <c r="H186" s="2">
        <v>3.47</v>
      </c>
      <c r="I186" s="2">
        <v>1.8</v>
      </c>
      <c r="J186" s="2">
        <v>0.55000000000000004</v>
      </c>
      <c r="K186" s="2">
        <v>0.24</v>
      </c>
    </row>
    <row r="187" spans="1:11" x14ac:dyDescent="0.25">
      <c r="A187" s="8">
        <v>9801</v>
      </c>
      <c r="B187" s="8">
        <v>9850</v>
      </c>
      <c r="C187" s="9">
        <v>17.79</v>
      </c>
      <c r="D187" s="3">
        <v>11.17</v>
      </c>
      <c r="E187" s="3">
        <v>8.9700000000000006</v>
      </c>
      <c r="F187" s="3">
        <v>6.94</v>
      </c>
      <c r="G187" s="3">
        <v>5.23</v>
      </c>
      <c r="H187" s="3">
        <v>3.55</v>
      </c>
      <c r="I187" s="3">
        <v>1.87</v>
      </c>
      <c r="J187" s="3">
        <v>0.56999999999999995</v>
      </c>
      <c r="K187" s="3">
        <v>0.25</v>
      </c>
    </row>
    <row r="188" spans="1:11" x14ac:dyDescent="0.25">
      <c r="A188" s="6">
        <v>9851</v>
      </c>
      <c r="B188" s="6">
        <v>9900</v>
      </c>
      <c r="C188" s="7">
        <v>17.84</v>
      </c>
      <c r="D188" s="2">
        <v>11.23</v>
      </c>
      <c r="E188" s="2">
        <v>9.02</v>
      </c>
      <c r="F188" s="2">
        <v>7</v>
      </c>
      <c r="G188" s="2">
        <v>5.29</v>
      </c>
      <c r="H188" s="2">
        <v>3.63</v>
      </c>
      <c r="I188" s="2">
        <v>1.96</v>
      </c>
      <c r="J188" s="2">
        <v>0.59</v>
      </c>
      <c r="K188" s="2">
        <v>0.26</v>
      </c>
    </row>
    <row r="189" spans="1:11" x14ac:dyDescent="0.25">
      <c r="A189" s="8">
        <v>9901</v>
      </c>
      <c r="B189" s="8">
        <v>9950</v>
      </c>
      <c r="C189" s="9">
        <v>17.899999999999999</v>
      </c>
      <c r="D189" s="3">
        <v>11.3</v>
      </c>
      <c r="E189" s="3">
        <v>9.09</v>
      </c>
      <c r="F189" s="3">
        <v>7.05</v>
      </c>
      <c r="G189" s="3">
        <v>5.37</v>
      </c>
      <c r="H189" s="3">
        <v>3.7</v>
      </c>
      <c r="I189" s="3">
        <v>2.0499999999999998</v>
      </c>
      <c r="J189" s="3">
        <v>0.61</v>
      </c>
      <c r="K189" s="3">
        <v>0.27</v>
      </c>
    </row>
    <row r="190" spans="1:11" x14ac:dyDescent="0.25">
      <c r="A190" s="6">
        <v>9951</v>
      </c>
      <c r="B190" s="6">
        <v>10000</v>
      </c>
      <c r="C190" s="7">
        <v>17.95</v>
      </c>
      <c r="D190" s="2">
        <v>11.35</v>
      </c>
      <c r="E190" s="2">
        <v>9.16</v>
      </c>
      <c r="F190" s="2">
        <v>7.12</v>
      </c>
      <c r="G190" s="2">
        <v>5.43</v>
      </c>
      <c r="H190" s="2">
        <v>3.78</v>
      </c>
      <c r="I190" s="2">
        <v>2.12</v>
      </c>
      <c r="J190" s="2">
        <v>0.64</v>
      </c>
      <c r="K190" s="2">
        <v>0.28000000000000003</v>
      </c>
    </row>
    <row r="191" spans="1:11" x14ac:dyDescent="0.25">
      <c r="A191" s="8">
        <v>10001</v>
      </c>
      <c r="B191" s="8">
        <v>10050</v>
      </c>
      <c r="C191" s="9">
        <v>18</v>
      </c>
      <c r="D191" s="3">
        <v>11.41</v>
      </c>
      <c r="E191" s="3">
        <v>9.2200000000000006</v>
      </c>
      <c r="F191" s="3">
        <v>7.19</v>
      </c>
      <c r="G191" s="3">
        <v>5.5</v>
      </c>
      <c r="H191" s="3">
        <v>3.84</v>
      </c>
      <c r="I191" s="3">
        <v>2.21</v>
      </c>
      <c r="J191" s="3">
        <v>0.66</v>
      </c>
      <c r="K191" s="3">
        <v>0.28999999999999998</v>
      </c>
    </row>
    <row r="192" spans="1:11" x14ac:dyDescent="0.25">
      <c r="A192" s="6">
        <v>10051</v>
      </c>
      <c r="B192" s="6">
        <v>10100</v>
      </c>
      <c r="C192" s="7">
        <v>18.05</v>
      </c>
      <c r="D192" s="2">
        <v>11.46</v>
      </c>
      <c r="E192" s="2">
        <v>9.2899999999999991</v>
      </c>
      <c r="F192" s="2">
        <v>7.23</v>
      </c>
      <c r="G192" s="2">
        <v>5.57</v>
      </c>
      <c r="H192" s="2">
        <v>3.92</v>
      </c>
      <c r="I192" s="2">
        <v>2.2799999999999998</v>
      </c>
      <c r="J192" s="2">
        <v>0.73</v>
      </c>
      <c r="K192" s="2">
        <v>0.31</v>
      </c>
    </row>
    <row r="193" spans="1:11" x14ac:dyDescent="0.25">
      <c r="A193" s="8">
        <v>10101</v>
      </c>
      <c r="B193" s="8">
        <v>10150</v>
      </c>
      <c r="C193" s="9">
        <v>18.11</v>
      </c>
      <c r="D193" s="3">
        <v>11.52</v>
      </c>
      <c r="E193" s="3">
        <v>9.34</v>
      </c>
      <c r="F193" s="3">
        <v>7.3</v>
      </c>
      <c r="G193" s="3">
        <v>5.63</v>
      </c>
      <c r="H193" s="3">
        <v>4</v>
      </c>
      <c r="I193" s="3">
        <v>2.37</v>
      </c>
      <c r="J193" s="3">
        <v>0.78</v>
      </c>
      <c r="K193" s="3">
        <v>0.33</v>
      </c>
    </row>
    <row r="194" spans="1:11" x14ac:dyDescent="0.25">
      <c r="A194" s="6">
        <v>10151</v>
      </c>
      <c r="B194" s="6">
        <v>10200</v>
      </c>
      <c r="C194" s="7">
        <v>18.16</v>
      </c>
      <c r="D194" s="2">
        <v>11.58</v>
      </c>
      <c r="E194" s="2">
        <v>9.41</v>
      </c>
      <c r="F194" s="2">
        <v>7.35</v>
      </c>
      <c r="G194" s="2">
        <v>5.7</v>
      </c>
      <c r="H194" s="2">
        <v>4.0599999999999996</v>
      </c>
      <c r="I194" s="2">
        <v>2.46</v>
      </c>
      <c r="J194" s="2">
        <v>0.84</v>
      </c>
      <c r="K194" s="2">
        <v>0.35</v>
      </c>
    </row>
    <row r="195" spans="1:11" x14ac:dyDescent="0.25">
      <c r="A195" s="8">
        <v>10201</v>
      </c>
      <c r="B195" s="8">
        <v>10250</v>
      </c>
      <c r="C195" s="9">
        <v>18.21</v>
      </c>
      <c r="D195" s="3">
        <v>11.63</v>
      </c>
      <c r="E195" s="3">
        <v>9.49</v>
      </c>
      <c r="F195" s="3">
        <v>7.41</v>
      </c>
      <c r="G195" s="3">
        <v>5.76</v>
      </c>
      <c r="H195" s="3">
        <v>4.1399999999999997</v>
      </c>
      <c r="I195" s="3">
        <v>2.52</v>
      </c>
      <c r="J195" s="3">
        <v>0.93</v>
      </c>
      <c r="K195" s="3">
        <v>0.37</v>
      </c>
    </row>
    <row r="196" spans="1:11" x14ac:dyDescent="0.25">
      <c r="A196" s="6">
        <v>10251</v>
      </c>
      <c r="B196" s="6">
        <v>10300</v>
      </c>
      <c r="C196" s="7">
        <v>18.260000000000002</v>
      </c>
      <c r="D196" s="2">
        <v>11.69</v>
      </c>
      <c r="E196" s="2">
        <v>9.5399999999999991</v>
      </c>
      <c r="F196" s="2">
        <v>7.49</v>
      </c>
      <c r="G196" s="2">
        <v>5.83</v>
      </c>
      <c r="H196" s="2">
        <v>4.2</v>
      </c>
      <c r="I196" s="2">
        <v>2.61</v>
      </c>
      <c r="J196" s="2">
        <v>1</v>
      </c>
      <c r="K196" s="2">
        <v>0.4</v>
      </c>
    </row>
    <row r="197" spans="1:11" x14ac:dyDescent="0.25">
      <c r="A197" s="8">
        <v>10301</v>
      </c>
      <c r="B197" s="8">
        <v>10350</v>
      </c>
      <c r="C197" s="9">
        <v>18.309999999999999</v>
      </c>
      <c r="D197" s="3">
        <v>11.74</v>
      </c>
      <c r="E197" s="3">
        <v>9.61</v>
      </c>
      <c r="F197" s="3">
        <v>7.55</v>
      </c>
      <c r="G197" s="3">
        <v>5.9</v>
      </c>
      <c r="H197" s="3">
        <v>4.2699999999999996</v>
      </c>
      <c r="I197" s="3">
        <v>2.67</v>
      </c>
      <c r="J197" s="3">
        <v>1.0900000000000001</v>
      </c>
      <c r="K197" s="3">
        <v>0.41</v>
      </c>
    </row>
    <row r="198" spans="1:11" x14ac:dyDescent="0.25">
      <c r="A198" s="6">
        <v>10351</v>
      </c>
      <c r="B198" s="6">
        <v>10400</v>
      </c>
      <c r="C198" s="7">
        <v>18.36</v>
      </c>
      <c r="D198" s="2">
        <v>11.79</v>
      </c>
      <c r="E198" s="2">
        <v>9.67</v>
      </c>
      <c r="F198" s="2">
        <v>7.62</v>
      </c>
      <c r="G198" s="2">
        <v>5.95</v>
      </c>
      <c r="H198" s="2">
        <v>4.3499999999999996</v>
      </c>
      <c r="I198" s="2">
        <v>2.76</v>
      </c>
      <c r="J198" s="2">
        <v>1.1599999999999999</v>
      </c>
      <c r="K198" s="2">
        <v>0.43</v>
      </c>
    </row>
    <row r="199" spans="1:11" x14ac:dyDescent="0.25">
      <c r="A199" s="8">
        <v>10401</v>
      </c>
      <c r="B199" s="8">
        <v>10450</v>
      </c>
      <c r="C199" s="9">
        <v>18.41</v>
      </c>
      <c r="D199" s="3">
        <v>11.85</v>
      </c>
      <c r="E199" s="3">
        <v>9.74</v>
      </c>
      <c r="F199" s="3">
        <v>7.68</v>
      </c>
      <c r="G199" s="3">
        <v>6.02</v>
      </c>
      <c r="H199" s="3">
        <v>4.41</v>
      </c>
      <c r="I199" s="3">
        <v>2.84</v>
      </c>
      <c r="J199" s="3">
        <v>1.25</v>
      </c>
      <c r="K199" s="3">
        <v>0.45</v>
      </c>
    </row>
    <row r="200" spans="1:11" x14ac:dyDescent="0.25">
      <c r="A200" s="6">
        <v>10451</v>
      </c>
      <c r="B200" s="6">
        <v>10500</v>
      </c>
      <c r="C200" s="7">
        <v>18.46</v>
      </c>
      <c r="D200" s="2">
        <v>11.9</v>
      </c>
      <c r="E200" s="2">
        <v>9.81</v>
      </c>
      <c r="F200" s="2">
        <v>7.75</v>
      </c>
      <c r="G200" s="2">
        <v>6.07</v>
      </c>
      <c r="H200" s="2">
        <v>4.4800000000000004</v>
      </c>
      <c r="I200" s="2">
        <v>2.9</v>
      </c>
      <c r="J200" s="2">
        <v>1.35</v>
      </c>
      <c r="K200" s="2">
        <v>0.47</v>
      </c>
    </row>
    <row r="201" spans="1:11" x14ac:dyDescent="0.25">
      <c r="A201" s="8">
        <v>10501</v>
      </c>
      <c r="B201" s="8">
        <v>10550</v>
      </c>
      <c r="C201" s="9">
        <v>18.5</v>
      </c>
      <c r="D201" s="3">
        <v>11.96</v>
      </c>
      <c r="E201" s="3">
        <v>9.86</v>
      </c>
      <c r="F201" s="3">
        <v>7.82</v>
      </c>
      <c r="G201" s="3">
        <v>6.14</v>
      </c>
      <c r="H201" s="3">
        <v>4.54</v>
      </c>
      <c r="I201" s="3">
        <v>2.98</v>
      </c>
      <c r="J201" s="3">
        <v>1.41</v>
      </c>
      <c r="K201" s="3">
        <v>0.49</v>
      </c>
    </row>
    <row r="202" spans="1:11" x14ac:dyDescent="0.25">
      <c r="A202" s="6">
        <v>10551</v>
      </c>
      <c r="B202" s="6">
        <v>10600</v>
      </c>
      <c r="C202" s="7">
        <v>18.55</v>
      </c>
      <c r="D202" s="2">
        <v>12</v>
      </c>
      <c r="E202" s="2">
        <v>9.93</v>
      </c>
      <c r="F202" s="2">
        <v>7.88</v>
      </c>
      <c r="G202" s="2">
        <v>6.21</v>
      </c>
      <c r="H202" s="2">
        <v>4.6100000000000003</v>
      </c>
      <c r="I202" s="2">
        <v>3.05</v>
      </c>
      <c r="J202" s="2">
        <v>1.5</v>
      </c>
      <c r="K202" s="2">
        <v>0.51</v>
      </c>
    </row>
    <row r="203" spans="1:11" x14ac:dyDescent="0.25">
      <c r="A203" s="8">
        <v>10601</v>
      </c>
      <c r="B203" s="8">
        <v>10650</v>
      </c>
      <c r="C203" s="9">
        <v>18.600000000000001</v>
      </c>
      <c r="D203" s="3">
        <v>12.06</v>
      </c>
      <c r="E203" s="3">
        <v>9.98</v>
      </c>
      <c r="F203" s="3">
        <v>7.94</v>
      </c>
      <c r="G203" s="3">
        <v>6.26</v>
      </c>
      <c r="H203" s="3">
        <v>4.68</v>
      </c>
      <c r="I203" s="3">
        <v>3.13</v>
      </c>
      <c r="J203" s="3">
        <v>1.57</v>
      </c>
      <c r="K203" s="3">
        <v>0.53</v>
      </c>
    </row>
    <row r="204" spans="1:11" x14ac:dyDescent="0.25">
      <c r="A204" s="6">
        <v>10651</v>
      </c>
      <c r="B204" s="6">
        <v>10700</v>
      </c>
      <c r="C204" s="7">
        <v>18.649999999999999</v>
      </c>
      <c r="D204" s="2">
        <v>12.11</v>
      </c>
      <c r="E204" s="2">
        <v>10.050000000000001</v>
      </c>
      <c r="F204" s="2">
        <v>8</v>
      </c>
      <c r="G204" s="2">
        <v>6.32</v>
      </c>
      <c r="H204" s="2">
        <v>4.74</v>
      </c>
      <c r="I204" s="2">
        <v>3.21</v>
      </c>
      <c r="J204" s="2">
        <v>1.66</v>
      </c>
      <c r="K204" s="2">
        <v>0.55000000000000004</v>
      </c>
    </row>
    <row r="205" spans="1:11" x14ac:dyDescent="0.25">
      <c r="A205" s="8">
        <v>10701</v>
      </c>
      <c r="B205" s="8">
        <v>10750</v>
      </c>
      <c r="C205" s="9">
        <v>18.690000000000001</v>
      </c>
      <c r="D205" s="3">
        <v>12.15</v>
      </c>
      <c r="E205" s="3">
        <v>10.11</v>
      </c>
      <c r="F205" s="3">
        <v>8.07</v>
      </c>
      <c r="G205" s="3">
        <v>6.37</v>
      </c>
      <c r="H205" s="3">
        <v>4.8099999999999996</v>
      </c>
      <c r="I205" s="3">
        <v>3.27</v>
      </c>
      <c r="J205" s="3">
        <v>1.74</v>
      </c>
      <c r="K205" s="3">
        <v>0.56999999999999995</v>
      </c>
    </row>
    <row r="206" spans="1:11" x14ac:dyDescent="0.25">
      <c r="A206" s="6">
        <v>10751</v>
      </c>
      <c r="B206" s="6">
        <v>10800</v>
      </c>
      <c r="C206" s="7">
        <v>18.739999999999998</v>
      </c>
      <c r="D206" s="2">
        <v>12.21</v>
      </c>
      <c r="E206" s="2">
        <v>10.16</v>
      </c>
      <c r="F206" s="2">
        <v>8.14</v>
      </c>
      <c r="G206" s="2">
        <v>6.44</v>
      </c>
      <c r="H206" s="2">
        <v>4.87</v>
      </c>
      <c r="I206" s="2">
        <v>3.34</v>
      </c>
      <c r="J206" s="2">
        <v>1.81</v>
      </c>
      <c r="K206" s="2">
        <v>0.59</v>
      </c>
    </row>
    <row r="207" spans="1:11" x14ac:dyDescent="0.25">
      <c r="A207" s="8">
        <v>10801</v>
      </c>
      <c r="B207" s="8">
        <v>10850</v>
      </c>
      <c r="C207" s="9">
        <v>18.78</v>
      </c>
      <c r="D207" s="3">
        <v>12.25</v>
      </c>
      <c r="E207" s="3">
        <v>10.23</v>
      </c>
      <c r="F207" s="3">
        <v>8.1999999999999993</v>
      </c>
      <c r="G207" s="3">
        <v>6.5</v>
      </c>
      <c r="H207" s="3">
        <v>4.9400000000000004</v>
      </c>
      <c r="I207" s="3">
        <v>3.4</v>
      </c>
      <c r="J207" s="3">
        <v>1.89</v>
      </c>
      <c r="K207" s="3">
        <v>0.6</v>
      </c>
    </row>
    <row r="208" spans="1:11" x14ac:dyDescent="0.25">
      <c r="A208" s="6">
        <v>10851</v>
      </c>
      <c r="B208" s="6">
        <v>10900</v>
      </c>
      <c r="C208" s="7">
        <v>18.829999999999998</v>
      </c>
      <c r="D208" s="2">
        <v>12.31</v>
      </c>
      <c r="E208" s="2">
        <v>10.28</v>
      </c>
      <c r="F208" s="2">
        <v>8.27</v>
      </c>
      <c r="G208" s="2">
        <v>6.55</v>
      </c>
      <c r="H208" s="2">
        <v>5.01</v>
      </c>
      <c r="I208" s="2">
        <v>3.48</v>
      </c>
      <c r="J208" s="2">
        <v>1.96</v>
      </c>
      <c r="K208" s="2">
        <v>0.62</v>
      </c>
    </row>
    <row r="209" spans="1:11" x14ac:dyDescent="0.25">
      <c r="A209" s="8">
        <v>10901</v>
      </c>
      <c r="B209" s="8">
        <v>10950</v>
      </c>
      <c r="C209" s="9">
        <v>18.87</v>
      </c>
      <c r="D209" s="3">
        <v>12.37</v>
      </c>
      <c r="E209" s="3">
        <v>10.34</v>
      </c>
      <c r="F209" s="3">
        <v>8.32</v>
      </c>
      <c r="G209" s="3">
        <v>6.61</v>
      </c>
      <c r="H209" s="3">
        <v>5.07</v>
      </c>
      <c r="I209" s="3">
        <v>3.55</v>
      </c>
      <c r="J209" s="3">
        <v>2.04</v>
      </c>
      <c r="K209" s="3">
        <v>0.64</v>
      </c>
    </row>
    <row r="210" spans="1:11" x14ac:dyDescent="0.25">
      <c r="A210" s="6">
        <v>10951</v>
      </c>
      <c r="B210" s="6">
        <v>11000</v>
      </c>
      <c r="C210" s="7">
        <v>18.95</v>
      </c>
      <c r="D210" s="2">
        <v>12.44</v>
      </c>
      <c r="E210" s="2">
        <v>10.42</v>
      </c>
      <c r="F210" s="2">
        <v>8.41</v>
      </c>
      <c r="G210" s="2">
        <v>6.68</v>
      </c>
      <c r="H210" s="2">
        <v>5.14</v>
      </c>
      <c r="I210" s="2">
        <v>3.64</v>
      </c>
      <c r="J210" s="2">
        <v>2.13</v>
      </c>
      <c r="K210" s="2">
        <v>0.66</v>
      </c>
    </row>
    <row r="211" spans="1:11" x14ac:dyDescent="0.25">
      <c r="A211" s="8">
        <v>11001</v>
      </c>
      <c r="B211" s="8">
        <v>11050</v>
      </c>
      <c r="C211" s="9">
        <v>18.989999999999998</v>
      </c>
      <c r="D211" s="3">
        <v>12.49</v>
      </c>
      <c r="E211" s="3">
        <v>10.48</v>
      </c>
      <c r="F211" s="3">
        <v>8.48</v>
      </c>
      <c r="G211" s="3">
        <v>6.73</v>
      </c>
      <c r="H211" s="3">
        <v>5.21</v>
      </c>
      <c r="I211" s="3">
        <v>3.69</v>
      </c>
      <c r="J211" s="3">
        <v>2.21</v>
      </c>
      <c r="K211" s="3">
        <v>0.71</v>
      </c>
    </row>
    <row r="212" spans="1:11" x14ac:dyDescent="0.25">
      <c r="A212" s="6">
        <v>11051</v>
      </c>
      <c r="B212" s="6">
        <v>11100</v>
      </c>
      <c r="C212" s="7">
        <v>19.04</v>
      </c>
      <c r="D212" s="2">
        <v>12.54</v>
      </c>
      <c r="E212" s="2">
        <v>10.53</v>
      </c>
      <c r="F212" s="2">
        <v>8.5500000000000007</v>
      </c>
      <c r="G212" s="2">
        <v>6.79</v>
      </c>
      <c r="H212" s="2">
        <v>5.27</v>
      </c>
      <c r="I212" s="2">
        <v>3.77</v>
      </c>
      <c r="J212" s="2">
        <v>2.2799999999999998</v>
      </c>
      <c r="K212" s="2">
        <v>0.8</v>
      </c>
    </row>
    <row r="213" spans="1:11" x14ac:dyDescent="0.25">
      <c r="A213" s="8">
        <v>11101</v>
      </c>
      <c r="B213" s="8">
        <v>11150</v>
      </c>
      <c r="C213" s="9">
        <v>19.079999999999998</v>
      </c>
      <c r="D213" s="3">
        <v>12.58</v>
      </c>
      <c r="E213" s="3">
        <v>10.59</v>
      </c>
      <c r="F213" s="3">
        <v>8.61</v>
      </c>
      <c r="G213" s="3">
        <v>6.85</v>
      </c>
      <c r="H213" s="3">
        <v>5.33</v>
      </c>
      <c r="I213" s="3">
        <v>3.82</v>
      </c>
      <c r="J213" s="3">
        <v>2.36</v>
      </c>
      <c r="K213" s="3">
        <v>0.87</v>
      </c>
    </row>
    <row r="214" spans="1:11" x14ac:dyDescent="0.25">
      <c r="A214" s="6">
        <v>11151</v>
      </c>
      <c r="B214" s="6">
        <v>11200</v>
      </c>
      <c r="C214" s="7">
        <v>19.13</v>
      </c>
      <c r="D214" s="2">
        <v>12.64</v>
      </c>
      <c r="E214" s="2">
        <v>10.64</v>
      </c>
      <c r="F214" s="2">
        <v>8.68</v>
      </c>
      <c r="G214" s="2">
        <v>6.9</v>
      </c>
      <c r="H214" s="2">
        <v>5.4</v>
      </c>
      <c r="I214" s="2">
        <v>3.9</v>
      </c>
      <c r="J214" s="2">
        <v>2.42</v>
      </c>
      <c r="K214" s="2">
        <v>0.96</v>
      </c>
    </row>
    <row r="215" spans="1:11" x14ac:dyDescent="0.25">
      <c r="A215" s="8">
        <v>11201</v>
      </c>
      <c r="B215" s="8">
        <v>11250</v>
      </c>
      <c r="C215" s="9">
        <v>19.170000000000002</v>
      </c>
      <c r="D215" s="3">
        <v>12.69</v>
      </c>
      <c r="E215" s="3">
        <v>10.7</v>
      </c>
      <c r="F215" s="3">
        <v>8.73</v>
      </c>
      <c r="G215" s="3">
        <v>6.96</v>
      </c>
      <c r="H215" s="3">
        <v>5.45</v>
      </c>
      <c r="I215" s="3">
        <v>3.97</v>
      </c>
      <c r="J215" s="3">
        <v>2.5</v>
      </c>
      <c r="K215" s="3">
        <v>1.02</v>
      </c>
    </row>
    <row r="216" spans="1:11" x14ac:dyDescent="0.25">
      <c r="A216" s="6">
        <v>11251</v>
      </c>
      <c r="B216" s="6">
        <v>11300</v>
      </c>
      <c r="C216" s="7">
        <v>19.22</v>
      </c>
      <c r="D216" s="2">
        <v>12.74</v>
      </c>
      <c r="E216" s="2">
        <v>10.76</v>
      </c>
      <c r="F216" s="2">
        <v>8.8000000000000007</v>
      </c>
      <c r="G216" s="2">
        <v>7</v>
      </c>
      <c r="H216" s="2">
        <v>5.52</v>
      </c>
      <c r="I216" s="2">
        <v>4.0199999999999996</v>
      </c>
      <c r="J216" s="2">
        <v>2.57</v>
      </c>
      <c r="K216" s="2">
        <v>1.1100000000000001</v>
      </c>
    </row>
    <row r="217" spans="1:11" x14ac:dyDescent="0.25">
      <c r="A217" s="8">
        <v>11301</v>
      </c>
      <c r="B217" s="8">
        <v>11350</v>
      </c>
      <c r="C217" s="9">
        <v>19.260000000000002</v>
      </c>
      <c r="D217" s="3">
        <v>12.79</v>
      </c>
      <c r="E217" s="3">
        <v>10.8</v>
      </c>
      <c r="F217" s="3">
        <v>8.8699999999999992</v>
      </c>
      <c r="G217" s="3">
        <v>7.06</v>
      </c>
      <c r="H217" s="3">
        <v>5.57</v>
      </c>
      <c r="I217" s="3">
        <v>4.09</v>
      </c>
      <c r="J217" s="3">
        <v>2.63</v>
      </c>
      <c r="K217" s="3">
        <v>1.19</v>
      </c>
    </row>
    <row r="218" spans="1:11" x14ac:dyDescent="0.25">
      <c r="A218" s="6">
        <v>11351</v>
      </c>
      <c r="B218" s="6">
        <v>11400</v>
      </c>
      <c r="C218" s="7">
        <v>19.329999999999998</v>
      </c>
      <c r="D218" s="2">
        <v>12.86</v>
      </c>
      <c r="E218" s="2">
        <v>10.87</v>
      </c>
      <c r="F218" s="2">
        <v>8.9499999999999993</v>
      </c>
      <c r="G218" s="2">
        <v>7.13</v>
      </c>
      <c r="H218" s="2">
        <v>5.66</v>
      </c>
      <c r="I218" s="2">
        <v>4.17</v>
      </c>
      <c r="J218" s="2">
        <v>2.72</v>
      </c>
      <c r="K218" s="2">
        <v>1.28</v>
      </c>
    </row>
    <row r="219" spans="1:11" x14ac:dyDescent="0.25">
      <c r="A219" s="8">
        <v>11401</v>
      </c>
      <c r="B219" s="8">
        <v>11450</v>
      </c>
      <c r="C219" s="9">
        <v>19.37</v>
      </c>
      <c r="D219" s="3">
        <v>12.91</v>
      </c>
      <c r="E219" s="3">
        <v>10.93</v>
      </c>
      <c r="F219" s="3">
        <v>9</v>
      </c>
      <c r="G219" s="3">
        <v>7.18</v>
      </c>
      <c r="H219" s="3">
        <v>5.71</v>
      </c>
      <c r="I219" s="3">
        <v>4.24</v>
      </c>
      <c r="J219" s="3">
        <v>2.79</v>
      </c>
      <c r="K219" s="3">
        <v>1.35</v>
      </c>
    </row>
    <row r="220" spans="1:11" x14ac:dyDescent="0.25">
      <c r="A220" s="6">
        <v>11451</v>
      </c>
      <c r="B220" s="6">
        <v>11500</v>
      </c>
      <c r="C220" s="7">
        <v>19.420000000000002</v>
      </c>
      <c r="D220" s="2">
        <v>12.96</v>
      </c>
      <c r="E220" s="2">
        <v>10.99</v>
      </c>
      <c r="F220" s="2">
        <v>9.07</v>
      </c>
      <c r="G220" s="2">
        <v>7.23</v>
      </c>
      <c r="H220" s="2">
        <v>5.77</v>
      </c>
      <c r="I220" s="2">
        <v>4.3</v>
      </c>
      <c r="J220" s="2">
        <v>2.87</v>
      </c>
      <c r="K220" s="2">
        <v>1.43</v>
      </c>
    </row>
    <row r="221" spans="1:11" x14ac:dyDescent="0.25">
      <c r="A221" s="8">
        <v>11501</v>
      </c>
      <c r="B221" s="8">
        <v>11550</v>
      </c>
      <c r="C221" s="9">
        <v>19.47</v>
      </c>
      <c r="D221" s="3">
        <v>13.01</v>
      </c>
      <c r="E221" s="3">
        <v>11.03</v>
      </c>
      <c r="F221" s="3">
        <v>9.1300000000000008</v>
      </c>
      <c r="G221" s="3">
        <v>7.28</v>
      </c>
      <c r="H221" s="3">
        <v>5.82</v>
      </c>
      <c r="I221" s="3">
        <v>4.37</v>
      </c>
      <c r="J221" s="3">
        <v>2.93</v>
      </c>
      <c r="K221" s="3">
        <v>1.51</v>
      </c>
    </row>
    <row r="222" spans="1:11" x14ac:dyDescent="0.25">
      <c r="A222" s="6">
        <v>11551</v>
      </c>
      <c r="B222" s="6">
        <v>11600</v>
      </c>
      <c r="C222" s="7">
        <v>19.52</v>
      </c>
      <c r="D222" s="2">
        <v>13.06</v>
      </c>
      <c r="E222" s="2">
        <v>11.09</v>
      </c>
      <c r="F222" s="2">
        <v>9.18</v>
      </c>
      <c r="G222" s="2">
        <v>7.34</v>
      </c>
      <c r="H222" s="2">
        <v>5.88</v>
      </c>
      <c r="I222" s="2">
        <v>4.42</v>
      </c>
      <c r="J222" s="2">
        <v>3</v>
      </c>
      <c r="K222" s="2">
        <v>1.57</v>
      </c>
    </row>
    <row r="223" spans="1:11" x14ac:dyDescent="0.25">
      <c r="A223" s="8">
        <v>11601</v>
      </c>
      <c r="B223" s="8">
        <v>11650</v>
      </c>
      <c r="C223" s="9">
        <v>19.600000000000001</v>
      </c>
      <c r="D223" s="3">
        <v>13.13</v>
      </c>
      <c r="E223" s="3">
        <v>11.17</v>
      </c>
      <c r="F223" s="3">
        <v>9.26</v>
      </c>
      <c r="G223" s="3">
        <v>7.4</v>
      </c>
      <c r="H223" s="3">
        <v>5.95</v>
      </c>
      <c r="I223" s="3">
        <v>4.5</v>
      </c>
      <c r="J223" s="3">
        <v>3.08</v>
      </c>
      <c r="K223" s="3">
        <v>1.66</v>
      </c>
    </row>
    <row r="224" spans="1:11" x14ac:dyDescent="0.25">
      <c r="A224" s="6">
        <v>11651</v>
      </c>
      <c r="B224" s="6">
        <v>11700</v>
      </c>
      <c r="C224" s="7">
        <v>19.64</v>
      </c>
      <c r="D224" s="2">
        <v>13.18</v>
      </c>
      <c r="E224" s="2">
        <v>11.21</v>
      </c>
      <c r="F224" s="2">
        <v>9.32</v>
      </c>
      <c r="G224" s="2">
        <v>7.45</v>
      </c>
      <c r="H224" s="2">
        <v>6.01</v>
      </c>
      <c r="I224" s="2">
        <v>4.57</v>
      </c>
      <c r="J224" s="2">
        <v>3.14</v>
      </c>
      <c r="K224" s="2">
        <v>1.74</v>
      </c>
    </row>
    <row r="225" spans="1:11" x14ac:dyDescent="0.25">
      <c r="A225" s="8">
        <v>11701</v>
      </c>
      <c r="B225" s="8">
        <v>11750</v>
      </c>
      <c r="C225" s="9">
        <v>19.690000000000001</v>
      </c>
      <c r="D225" s="3">
        <v>13.23</v>
      </c>
      <c r="E225" s="3">
        <v>11.27</v>
      </c>
      <c r="F225" s="3">
        <v>9.3800000000000008</v>
      </c>
      <c r="G225" s="3">
        <v>7.51</v>
      </c>
      <c r="H225" s="3">
        <v>6.06</v>
      </c>
      <c r="I225" s="3">
        <v>4.63</v>
      </c>
      <c r="J225" s="3">
        <v>3.21</v>
      </c>
      <c r="K225" s="3">
        <v>1.8</v>
      </c>
    </row>
    <row r="226" spans="1:11" x14ac:dyDescent="0.25">
      <c r="A226" s="6">
        <v>11751</v>
      </c>
      <c r="B226" s="6">
        <v>11800</v>
      </c>
      <c r="C226" s="7">
        <v>19.739999999999998</v>
      </c>
      <c r="D226" s="2">
        <v>13.27</v>
      </c>
      <c r="E226" s="2">
        <v>11.33</v>
      </c>
      <c r="F226" s="2">
        <v>9.44</v>
      </c>
      <c r="G226" s="2">
        <v>7.57</v>
      </c>
      <c r="H226" s="2">
        <v>6.12</v>
      </c>
      <c r="I226" s="2">
        <v>4.6900000000000004</v>
      </c>
      <c r="J226" s="2">
        <v>3.28</v>
      </c>
      <c r="K226" s="2">
        <v>1.88</v>
      </c>
    </row>
    <row r="227" spans="1:11" x14ac:dyDescent="0.25">
      <c r="A227" s="8">
        <v>11801</v>
      </c>
      <c r="B227" s="8">
        <v>11850</v>
      </c>
      <c r="C227" s="9">
        <v>19.79</v>
      </c>
      <c r="D227" s="3">
        <v>13.33</v>
      </c>
      <c r="E227" s="3">
        <v>11.37</v>
      </c>
      <c r="F227" s="3">
        <v>9.5</v>
      </c>
      <c r="G227" s="3">
        <v>7.64</v>
      </c>
      <c r="H227" s="3">
        <v>6.17</v>
      </c>
      <c r="I227" s="3">
        <v>4.75</v>
      </c>
      <c r="J227" s="3">
        <v>3.33</v>
      </c>
      <c r="K227" s="3">
        <v>1.95</v>
      </c>
    </row>
    <row r="228" spans="1:11" x14ac:dyDescent="0.25">
      <c r="A228" s="6">
        <v>11851</v>
      </c>
      <c r="B228" s="6">
        <v>11900</v>
      </c>
      <c r="C228" s="7">
        <v>19.86</v>
      </c>
      <c r="D228" s="2">
        <v>13.39</v>
      </c>
      <c r="E228" s="2">
        <v>11.45</v>
      </c>
      <c r="F228" s="2">
        <v>9.57</v>
      </c>
      <c r="G228" s="2">
        <v>7.72</v>
      </c>
      <c r="H228" s="2">
        <v>6.25</v>
      </c>
      <c r="I228" s="2">
        <v>4.83</v>
      </c>
      <c r="J228" s="2">
        <v>3.41</v>
      </c>
      <c r="K228" s="2">
        <v>2.04</v>
      </c>
    </row>
    <row r="229" spans="1:11" x14ac:dyDescent="0.25">
      <c r="A229" s="8">
        <v>11901</v>
      </c>
      <c r="B229" s="8">
        <v>11950</v>
      </c>
      <c r="C229" s="9">
        <v>19.91</v>
      </c>
      <c r="D229" s="3">
        <v>13.44</v>
      </c>
      <c r="E229" s="3">
        <v>11.5</v>
      </c>
      <c r="F229" s="3">
        <v>9.6199999999999992</v>
      </c>
      <c r="G229" s="3">
        <v>7.79</v>
      </c>
      <c r="H229" s="3">
        <v>6.29</v>
      </c>
      <c r="I229" s="3">
        <v>4.8899999999999997</v>
      </c>
      <c r="J229" s="3">
        <v>3.48</v>
      </c>
      <c r="K229" s="3">
        <v>2.09</v>
      </c>
    </row>
    <row r="230" spans="1:11" x14ac:dyDescent="0.25">
      <c r="A230" s="6">
        <v>11951</v>
      </c>
      <c r="B230" s="6">
        <v>12000</v>
      </c>
      <c r="C230" s="7">
        <v>19.95</v>
      </c>
      <c r="D230" s="2">
        <v>13.48</v>
      </c>
      <c r="E230" s="2">
        <v>11.56</v>
      </c>
      <c r="F230" s="2">
        <v>9.68</v>
      </c>
      <c r="G230" s="2">
        <v>7.84</v>
      </c>
      <c r="H230" s="2">
        <v>6.35</v>
      </c>
      <c r="I230" s="2">
        <v>4.9400000000000004</v>
      </c>
      <c r="J230" s="2">
        <v>3.55</v>
      </c>
      <c r="K230" s="2">
        <v>2.17</v>
      </c>
    </row>
    <row r="231" spans="1:11" x14ac:dyDescent="0.25">
      <c r="A231" s="8">
        <v>12001</v>
      </c>
      <c r="B231" s="8">
        <v>12050</v>
      </c>
      <c r="C231" s="9">
        <v>20</v>
      </c>
      <c r="D231" s="3">
        <v>13.53</v>
      </c>
      <c r="E231" s="3">
        <v>11.6</v>
      </c>
      <c r="F231" s="3">
        <v>9.74</v>
      </c>
      <c r="G231" s="3">
        <v>7.91</v>
      </c>
      <c r="H231" s="3">
        <v>6.4</v>
      </c>
      <c r="I231" s="3">
        <v>5</v>
      </c>
      <c r="J231" s="3">
        <v>3.6</v>
      </c>
      <c r="K231" s="3">
        <v>2.2400000000000002</v>
      </c>
    </row>
    <row r="232" spans="1:11" x14ac:dyDescent="0.25">
      <c r="A232" s="6">
        <v>12051</v>
      </c>
      <c r="B232" s="6">
        <v>12100</v>
      </c>
      <c r="C232" s="7">
        <v>20.05</v>
      </c>
      <c r="D232" s="2">
        <v>13.57</v>
      </c>
      <c r="E232" s="2">
        <v>11.66</v>
      </c>
      <c r="F232" s="2">
        <v>9.7899999999999991</v>
      </c>
      <c r="G232" s="2">
        <v>7.98</v>
      </c>
      <c r="H232" s="2">
        <v>6.45</v>
      </c>
      <c r="I232" s="2">
        <v>5.05</v>
      </c>
      <c r="J232" s="2">
        <v>3.67</v>
      </c>
      <c r="K232" s="2">
        <v>2.2999999999999998</v>
      </c>
    </row>
    <row r="233" spans="1:11" x14ac:dyDescent="0.25">
      <c r="A233" s="8">
        <v>12101</v>
      </c>
      <c r="B233" s="8">
        <v>12150</v>
      </c>
      <c r="C233" s="9">
        <v>20.12</v>
      </c>
      <c r="D233" s="3">
        <v>13.65</v>
      </c>
      <c r="E233" s="3">
        <v>11.73</v>
      </c>
      <c r="F233" s="3">
        <v>9.86</v>
      </c>
      <c r="G233" s="3">
        <v>8.06</v>
      </c>
      <c r="H233" s="3">
        <v>6.52</v>
      </c>
      <c r="I233" s="3">
        <v>5.14</v>
      </c>
      <c r="J233" s="3">
        <v>3.74</v>
      </c>
      <c r="K233" s="3">
        <v>2.38</v>
      </c>
    </row>
    <row r="234" spans="1:11" x14ac:dyDescent="0.25">
      <c r="A234" s="6">
        <v>12151</v>
      </c>
      <c r="B234" s="6">
        <v>12200</v>
      </c>
      <c r="C234" s="7">
        <v>20.170000000000002</v>
      </c>
      <c r="D234" s="2">
        <v>13.69</v>
      </c>
      <c r="E234" s="2">
        <v>11.78</v>
      </c>
      <c r="F234" s="2">
        <v>9.92</v>
      </c>
      <c r="G234" s="2">
        <v>8.11</v>
      </c>
      <c r="H234" s="2">
        <v>6.57</v>
      </c>
      <c r="I234" s="2">
        <v>5.19</v>
      </c>
      <c r="J234" s="2">
        <v>3.81</v>
      </c>
      <c r="K234" s="2">
        <v>2.4500000000000002</v>
      </c>
    </row>
    <row r="235" spans="1:11" x14ac:dyDescent="0.25">
      <c r="A235" s="8">
        <v>12201</v>
      </c>
      <c r="B235" s="8">
        <v>12250</v>
      </c>
      <c r="C235" s="9">
        <v>20.21</v>
      </c>
      <c r="D235" s="3">
        <v>13.74</v>
      </c>
      <c r="E235" s="3">
        <v>11.83</v>
      </c>
      <c r="F235" s="3">
        <v>9.98</v>
      </c>
      <c r="G235" s="3">
        <v>8.17</v>
      </c>
      <c r="H235" s="3">
        <v>6.62</v>
      </c>
      <c r="I235" s="3">
        <v>5.25</v>
      </c>
      <c r="J235" s="3">
        <v>3.87</v>
      </c>
      <c r="K235" s="3">
        <v>2.5299999999999998</v>
      </c>
    </row>
    <row r="236" spans="1:11" x14ac:dyDescent="0.25">
      <c r="A236" s="6">
        <v>12251</v>
      </c>
      <c r="B236" s="6">
        <v>12300</v>
      </c>
      <c r="C236" s="7">
        <v>20.260000000000002</v>
      </c>
      <c r="D236" s="2">
        <v>13.78</v>
      </c>
      <c r="E236" s="2">
        <v>11.88</v>
      </c>
      <c r="F236" s="2">
        <v>10.029999999999999</v>
      </c>
      <c r="G236" s="2">
        <v>8.24</v>
      </c>
      <c r="H236" s="2">
        <v>6.67</v>
      </c>
      <c r="I236" s="2">
        <v>5.3</v>
      </c>
      <c r="J236" s="2">
        <v>3.93</v>
      </c>
      <c r="K236" s="2">
        <v>2.58</v>
      </c>
    </row>
    <row r="237" spans="1:11" x14ac:dyDescent="0.25">
      <c r="A237" s="8">
        <v>12301</v>
      </c>
      <c r="B237" s="8">
        <v>12350</v>
      </c>
      <c r="C237" s="9">
        <v>20.3</v>
      </c>
      <c r="D237" s="3">
        <v>13.83</v>
      </c>
      <c r="E237" s="3">
        <v>11.93</v>
      </c>
      <c r="F237" s="3">
        <v>10.09</v>
      </c>
      <c r="G237" s="3">
        <v>8.2899999999999991</v>
      </c>
      <c r="H237" s="3">
        <v>6.73</v>
      </c>
      <c r="I237" s="3">
        <v>5.36</v>
      </c>
      <c r="J237" s="3">
        <v>3.99</v>
      </c>
      <c r="K237" s="3">
        <v>2.65</v>
      </c>
    </row>
    <row r="238" spans="1:11" x14ac:dyDescent="0.25">
      <c r="A238" s="6">
        <v>12351</v>
      </c>
      <c r="B238" s="6">
        <v>12400</v>
      </c>
      <c r="C238" s="7">
        <v>20.37</v>
      </c>
      <c r="D238" s="2">
        <v>13.9</v>
      </c>
      <c r="E238" s="2">
        <v>12</v>
      </c>
      <c r="F238" s="2">
        <v>10.16</v>
      </c>
      <c r="G238" s="2">
        <v>8.3699999999999992</v>
      </c>
      <c r="H238" s="2">
        <v>6.79</v>
      </c>
      <c r="I238" s="2">
        <v>5.43</v>
      </c>
      <c r="J238" s="2">
        <v>4.0599999999999996</v>
      </c>
      <c r="K238" s="2">
        <v>2.73</v>
      </c>
    </row>
    <row r="239" spans="1:11" x14ac:dyDescent="0.25">
      <c r="A239" s="8">
        <v>12401</v>
      </c>
      <c r="B239" s="8">
        <v>12450</v>
      </c>
      <c r="C239" s="9">
        <v>20.420000000000002</v>
      </c>
      <c r="D239" s="3">
        <v>13.95</v>
      </c>
      <c r="E239" s="3">
        <v>12.05</v>
      </c>
      <c r="F239" s="3">
        <v>10.210000000000001</v>
      </c>
      <c r="G239" s="3">
        <v>8.43</v>
      </c>
      <c r="H239" s="3">
        <v>6.83</v>
      </c>
      <c r="I239" s="3">
        <v>5.49</v>
      </c>
      <c r="J239" s="3">
        <v>4.13</v>
      </c>
      <c r="K239" s="3">
        <v>2.78</v>
      </c>
    </row>
    <row r="240" spans="1:11" x14ac:dyDescent="0.25">
      <c r="A240" s="6">
        <v>12451</v>
      </c>
      <c r="B240" s="6">
        <v>12500</v>
      </c>
      <c r="C240" s="7">
        <v>20.46</v>
      </c>
      <c r="D240" s="2">
        <v>13.99</v>
      </c>
      <c r="E240" s="2">
        <v>12.11</v>
      </c>
      <c r="F240" s="2">
        <v>10.27</v>
      </c>
      <c r="G240" s="2">
        <v>8.48</v>
      </c>
      <c r="H240" s="2">
        <v>6.89</v>
      </c>
      <c r="I240" s="2">
        <v>5.53</v>
      </c>
      <c r="J240" s="2">
        <v>4.1900000000000004</v>
      </c>
      <c r="K240" s="2">
        <v>2.85</v>
      </c>
    </row>
    <row r="241" spans="1:11" x14ac:dyDescent="0.25">
      <c r="A241" s="8">
        <v>12501</v>
      </c>
      <c r="B241" s="8">
        <v>12550</v>
      </c>
      <c r="C241" s="9">
        <v>20.53</v>
      </c>
      <c r="D241" s="3">
        <v>14.05</v>
      </c>
      <c r="E241" s="3">
        <v>12.18</v>
      </c>
      <c r="F241" s="3">
        <v>10.34</v>
      </c>
      <c r="G241" s="3">
        <v>8.57</v>
      </c>
      <c r="H241" s="3">
        <v>6.95</v>
      </c>
      <c r="I241" s="3">
        <v>5.6</v>
      </c>
      <c r="J241" s="3">
        <v>4.26</v>
      </c>
      <c r="K241" s="3">
        <v>2.93</v>
      </c>
    </row>
    <row r="242" spans="1:11" x14ac:dyDescent="0.25">
      <c r="A242" s="6">
        <v>12551</v>
      </c>
      <c r="B242" s="6">
        <v>12600</v>
      </c>
      <c r="C242" s="7">
        <v>20.57</v>
      </c>
      <c r="D242" s="2">
        <v>14.1</v>
      </c>
      <c r="E242" s="2">
        <v>12.22</v>
      </c>
      <c r="F242" s="2">
        <v>10.39</v>
      </c>
      <c r="G242" s="2">
        <v>8.6199999999999992</v>
      </c>
      <c r="H242" s="2">
        <v>7.01</v>
      </c>
      <c r="I242" s="2">
        <v>5.66</v>
      </c>
      <c r="J242" s="2">
        <v>4.3099999999999996</v>
      </c>
      <c r="K242" s="2">
        <v>3</v>
      </c>
    </row>
    <row r="243" spans="1:11" x14ac:dyDescent="0.25">
      <c r="A243" s="8">
        <v>12601</v>
      </c>
      <c r="B243" s="8">
        <v>12650</v>
      </c>
      <c r="C243" s="9">
        <v>20.62</v>
      </c>
      <c r="D243" s="3">
        <v>14.15</v>
      </c>
      <c r="E243" s="3">
        <v>12.27</v>
      </c>
      <c r="F243" s="3">
        <v>10.44</v>
      </c>
      <c r="G243" s="3">
        <v>8.68</v>
      </c>
      <c r="H243" s="3">
        <v>7.05</v>
      </c>
      <c r="I243" s="3">
        <v>5.71</v>
      </c>
      <c r="J243" s="3">
        <v>4.38</v>
      </c>
      <c r="K243" s="3">
        <v>3.05</v>
      </c>
    </row>
    <row r="244" spans="1:11" x14ac:dyDescent="0.25">
      <c r="A244" s="6">
        <v>12651</v>
      </c>
      <c r="B244" s="6">
        <v>12700</v>
      </c>
      <c r="C244" s="7">
        <v>20.68</v>
      </c>
      <c r="D244" s="2">
        <v>14.21</v>
      </c>
      <c r="E244" s="2">
        <v>12.34</v>
      </c>
      <c r="F244" s="2">
        <v>10.51</v>
      </c>
      <c r="G244" s="2">
        <v>8.75</v>
      </c>
      <c r="H244" s="2">
        <v>7.11</v>
      </c>
      <c r="I244" s="2">
        <v>5.78</v>
      </c>
      <c r="J244" s="2">
        <v>4.45</v>
      </c>
      <c r="K244" s="2">
        <v>3.12</v>
      </c>
    </row>
    <row r="245" spans="1:11" x14ac:dyDescent="0.25">
      <c r="A245" s="8">
        <v>12701</v>
      </c>
      <c r="B245" s="8">
        <v>12750</v>
      </c>
      <c r="C245" s="9">
        <v>20.73</v>
      </c>
      <c r="D245" s="3">
        <v>14.25</v>
      </c>
      <c r="E245" s="3">
        <v>12.39</v>
      </c>
      <c r="F245" s="3">
        <v>10.57</v>
      </c>
      <c r="G245" s="3">
        <v>8.8000000000000007</v>
      </c>
      <c r="H245" s="3">
        <v>7.17</v>
      </c>
      <c r="I245" s="3">
        <v>5.82</v>
      </c>
      <c r="J245" s="3">
        <v>4.51</v>
      </c>
      <c r="K245" s="3">
        <v>3.19</v>
      </c>
    </row>
    <row r="246" spans="1:11" x14ac:dyDescent="0.25">
      <c r="A246" s="6">
        <v>12751</v>
      </c>
      <c r="B246" s="6">
        <v>12800</v>
      </c>
      <c r="C246" s="7">
        <v>20.77</v>
      </c>
      <c r="D246" s="2">
        <v>14.3</v>
      </c>
      <c r="E246" s="2">
        <v>12.43</v>
      </c>
      <c r="F246" s="2">
        <v>10.62</v>
      </c>
      <c r="G246" s="2">
        <v>8.86</v>
      </c>
      <c r="H246" s="2">
        <v>7.21</v>
      </c>
      <c r="I246" s="2">
        <v>5.88</v>
      </c>
      <c r="J246" s="2">
        <v>4.5599999999999996</v>
      </c>
      <c r="K246" s="2">
        <v>3.25</v>
      </c>
    </row>
    <row r="247" spans="1:11" x14ac:dyDescent="0.25">
      <c r="A247" s="8">
        <v>12801</v>
      </c>
      <c r="B247" s="8">
        <v>12850</v>
      </c>
      <c r="C247" s="9">
        <v>20.81</v>
      </c>
      <c r="D247" s="3">
        <v>14.34</v>
      </c>
      <c r="E247" s="3">
        <v>12.48</v>
      </c>
      <c r="F247" s="3">
        <v>10.67</v>
      </c>
      <c r="G247" s="3">
        <v>8.92</v>
      </c>
      <c r="H247" s="3">
        <v>7.26</v>
      </c>
      <c r="I247" s="3">
        <v>5.92</v>
      </c>
      <c r="J247" s="3">
        <v>4.62</v>
      </c>
      <c r="K247" s="3">
        <v>3.3</v>
      </c>
    </row>
    <row r="248" spans="1:11" x14ac:dyDescent="0.25">
      <c r="A248" s="6">
        <v>12851</v>
      </c>
      <c r="B248" s="6">
        <v>12900</v>
      </c>
      <c r="C248" s="7">
        <v>20.87</v>
      </c>
      <c r="D248" s="2">
        <v>14.41</v>
      </c>
      <c r="E248" s="2">
        <v>12.55</v>
      </c>
      <c r="F248" s="2">
        <v>10.74</v>
      </c>
      <c r="G248" s="2">
        <v>8.99</v>
      </c>
      <c r="H248" s="2">
        <v>7.32</v>
      </c>
      <c r="I248" s="2">
        <v>6</v>
      </c>
      <c r="J248" s="2">
        <v>4.6900000000000004</v>
      </c>
      <c r="K248" s="2">
        <v>3.38</v>
      </c>
    </row>
    <row r="249" spans="1:11" x14ac:dyDescent="0.25">
      <c r="A249" s="8">
        <v>12901</v>
      </c>
      <c r="B249" s="8">
        <v>12950</v>
      </c>
      <c r="C249" s="9">
        <v>20.92</v>
      </c>
      <c r="D249" s="3">
        <v>14.45</v>
      </c>
      <c r="E249" s="3">
        <v>12.6</v>
      </c>
      <c r="F249" s="3">
        <v>10.79</v>
      </c>
      <c r="G249" s="3">
        <v>9.0399999999999991</v>
      </c>
      <c r="H249" s="3">
        <v>7.37</v>
      </c>
      <c r="I249" s="3">
        <v>6.04</v>
      </c>
      <c r="J249" s="3">
        <v>4.75</v>
      </c>
      <c r="K249" s="3">
        <v>3.44</v>
      </c>
    </row>
    <row r="250" spans="1:11" x14ac:dyDescent="0.25">
      <c r="A250" s="6">
        <v>12951</v>
      </c>
      <c r="B250" s="6">
        <v>13000</v>
      </c>
      <c r="C250" s="7">
        <v>20.96</v>
      </c>
      <c r="D250" s="2">
        <v>14.49</v>
      </c>
      <c r="E250" s="2">
        <v>12.65</v>
      </c>
      <c r="F250" s="2">
        <v>10.85</v>
      </c>
      <c r="G250" s="2">
        <v>9.1</v>
      </c>
      <c r="H250" s="2">
        <v>7.41</v>
      </c>
      <c r="I250" s="2">
        <v>6.1</v>
      </c>
      <c r="J250" s="2">
        <v>4.8</v>
      </c>
      <c r="K250" s="2">
        <v>3.51</v>
      </c>
    </row>
    <row r="251" spans="1:11" x14ac:dyDescent="0.25">
      <c r="A251" s="8">
        <v>13001</v>
      </c>
      <c r="B251" s="8">
        <v>13050</v>
      </c>
      <c r="C251" s="9">
        <v>21.02</v>
      </c>
      <c r="D251" s="3">
        <v>14.55</v>
      </c>
      <c r="E251" s="3">
        <v>12.71</v>
      </c>
      <c r="F251" s="3">
        <v>10.92</v>
      </c>
      <c r="G251" s="3">
        <v>9.17</v>
      </c>
      <c r="H251" s="3">
        <v>7.49</v>
      </c>
      <c r="I251" s="3">
        <v>6.16</v>
      </c>
      <c r="J251" s="3">
        <v>4.8600000000000003</v>
      </c>
      <c r="K251" s="3">
        <v>3.58</v>
      </c>
    </row>
    <row r="252" spans="1:11" x14ac:dyDescent="0.25">
      <c r="A252" s="6">
        <v>13051</v>
      </c>
      <c r="B252" s="6">
        <v>13100</v>
      </c>
      <c r="C252" s="7">
        <v>21.07</v>
      </c>
      <c r="D252" s="2">
        <v>14.6</v>
      </c>
      <c r="E252" s="2">
        <v>12.77</v>
      </c>
      <c r="F252" s="2">
        <v>10.97</v>
      </c>
      <c r="G252" s="2">
        <v>9.23</v>
      </c>
      <c r="H252" s="2">
        <v>7.54</v>
      </c>
      <c r="I252" s="2">
        <v>6.21</v>
      </c>
      <c r="J252" s="2">
        <v>4.92</v>
      </c>
      <c r="K252" s="2">
        <v>3.63</v>
      </c>
    </row>
    <row r="253" spans="1:11" x14ac:dyDescent="0.25">
      <c r="A253" s="8">
        <v>13101</v>
      </c>
      <c r="B253" s="8">
        <v>13150</v>
      </c>
      <c r="C253" s="9">
        <v>21.11</v>
      </c>
      <c r="D253" s="3">
        <v>14.63</v>
      </c>
      <c r="E253" s="3">
        <v>12.82</v>
      </c>
      <c r="F253" s="3">
        <v>11.02</v>
      </c>
      <c r="G253" s="3">
        <v>9.2799999999999994</v>
      </c>
      <c r="H253" s="3">
        <v>7.6</v>
      </c>
      <c r="I253" s="3">
        <v>6.26</v>
      </c>
      <c r="J253" s="3">
        <v>4.9800000000000004</v>
      </c>
      <c r="K253" s="3">
        <v>3.69</v>
      </c>
    </row>
    <row r="254" spans="1:11" x14ac:dyDescent="0.25">
      <c r="A254" s="6">
        <v>13151</v>
      </c>
      <c r="B254" s="6">
        <v>13200</v>
      </c>
      <c r="C254" s="7">
        <v>21.17</v>
      </c>
      <c r="D254" s="2">
        <v>14.69</v>
      </c>
      <c r="E254" s="2">
        <v>12.88</v>
      </c>
      <c r="F254" s="2">
        <v>11.09</v>
      </c>
      <c r="G254" s="2">
        <v>9.35</v>
      </c>
      <c r="H254" s="2">
        <v>7.67</v>
      </c>
      <c r="I254" s="2">
        <v>6.32</v>
      </c>
      <c r="J254" s="2">
        <v>5.05</v>
      </c>
      <c r="K254" s="2">
        <v>3.76</v>
      </c>
    </row>
    <row r="255" spans="1:11" x14ac:dyDescent="0.25">
      <c r="A255" s="8">
        <v>13201</v>
      </c>
      <c r="B255" s="8">
        <v>13250</v>
      </c>
      <c r="C255" s="9">
        <v>21.21</v>
      </c>
      <c r="D255" s="3">
        <v>14.74</v>
      </c>
      <c r="E255" s="3">
        <v>12.93</v>
      </c>
      <c r="F255" s="3">
        <v>11.15</v>
      </c>
      <c r="G255" s="3">
        <v>9.41</v>
      </c>
      <c r="H255" s="3">
        <v>7.73</v>
      </c>
      <c r="I255" s="3">
        <v>6.37</v>
      </c>
      <c r="J255" s="3">
        <v>5.09</v>
      </c>
      <c r="K255" s="3">
        <v>3.83</v>
      </c>
    </row>
    <row r="256" spans="1:11" x14ac:dyDescent="0.25">
      <c r="A256" s="6">
        <v>13251</v>
      </c>
      <c r="B256" s="6">
        <v>13300</v>
      </c>
      <c r="C256" s="7">
        <v>21.25</v>
      </c>
      <c r="D256" s="2">
        <v>14.77</v>
      </c>
      <c r="E256" s="2">
        <v>12.98</v>
      </c>
      <c r="F256" s="2">
        <v>11.19</v>
      </c>
      <c r="G256" s="2">
        <v>9.4700000000000006</v>
      </c>
      <c r="H256" s="2">
        <v>7.79</v>
      </c>
      <c r="I256" s="2">
        <v>6.41</v>
      </c>
      <c r="J256" s="2">
        <v>5.15</v>
      </c>
      <c r="K256" s="2">
        <v>3.88</v>
      </c>
    </row>
    <row r="257" spans="1:11" x14ac:dyDescent="0.25">
      <c r="A257" s="8">
        <v>13301</v>
      </c>
      <c r="B257" s="8">
        <v>13350</v>
      </c>
      <c r="C257" s="9">
        <v>21.32</v>
      </c>
      <c r="D257" s="3">
        <v>14.85</v>
      </c>
      <c r="E257" s="3">
        <v>13.04</v>
      </c>
      <c r="F257" s="3">
        <v>11.26</v>
      </c>
      <c r="G257" s="3">
        <v>9.5399999999999991</v>
      </c>
      <c r="H257" s="3">
        <v>7.86</v>
      </c>
      <c r="I257" s="3">
        <v>6.49</v>
      </c>
      <c r="J257" s="3">
        <v>5.21</v>
      </c>
      <c r="K257" s="3">
        <v>3.95</v>
      </c>
    </row>
    <row r="258" spans="1:11" x14ac:dyDescent="0.25">
      <c r="A258" s="6">
        <v>13351</v>
      </c>
      <c r="B258" s="6">
        <v>13400</v>
      </c>
      <c r="C258" s="7">
        <v>21.35</v>
      </c>
      <c r="D258" s="2">
        <v>14.89</v>
      </c>
      <c r="E258" s="2">
        <v>13.09</v>
      </c>
      <c r="F258" s="2">
        <v>11.31</v>
      </c>
      <c r="G258" s="2">
        <v>9.59</v>
      </c>
      <c r="H258" s="2">
        <v>7.92</v>
      </c>
      <c r="I258" s="2">
        <v>6.53</v>
      </c>
      <c r="J258" s="2">
        <v>5.27</v>
      </c>
      <c r="K258" s="2">
        <v>4.01</v>
      </c>
    </row>
    <row r="259" spans="1:11" x14ac:dyDescent="0.25">
      <c r="A259" s="8">
        <v>13401</v>
      </c>
      <c r="B259" s="8">
        <v>13450</v>
      </c>
      <c r="C259" s="9">
        <v>21.39</v>
      </c>
      <c r="D259" s="3">
        <v>14.94</v>
      </c>
      <c r="E259" s="3">
        <v>13.13</v>
      </c>
      <c r="F259" s="3">
        <v>11.37</v>
      </c>
      <c r="G259" s="3">
        <v>9.64</v>
      </c>
      <c r="H259" s="3">
        <v>7.97</v>
      </c>
      <c r="I259" s="3">
        <v>6.58</v>
      </c>
      <c r="J259" s="3">
        <v>5.31</v>
      </c>
      <c r="K259" s="3">
        <v>4.07</v>
      </c>
    </row>
    <row r="260" spans="1:11" x14ac:dyDescent="0.25">
      <c r="A260" s="6">
        <v>13451</v>
      </c>
      <c r="B260" s="6">
        <v>13500</v>
      </c>
      <c r="C260" s="7">
        <v>21.46</v>
      </c>
      <c r="D260" s="2">
        <v>15</v>
      </c>
      <c r="E260" s="2">
        <v>13.19</v>
      </c>
      <c r="F260" s="2">
        <v>11.43</v>
      </c>
      <c r="G260" s="2">
        <v>9.7100000000000009</v>
      </c>
      <c r="H260" s="2">
        <v>8.0399999999999991</v>
      </c>
      <c r="I260" s="2">
        <v>6.64</v>
      </c>
      <c r="J260" s="2">
        <v>5.38</v>
      </c>
      <c r="K260" s="2">
        <v>4.1399999999999997</v>
      </c>
    </row>
    <row r="261" spans="1:11" x14ac:dyDescent="0.25">
      <c r="A261" s="8">
        <v>13501</v>
      </c>
      <c r="B261" s="8">
        <v>13550</v>
      </c>
      <c r="C261" s="9">
        <v>21.49</v>
      </c>
      <c r="D261" s="3">
        <v>15.04</v>
      </c>
      <c r="E261" s="3">
        <v>13.24</v>
      </c>
      <c r="F261" s="3">
        <v>11.47</v>
      </c>
      <c r="G261" s="3">
        <v>9.77</v>
      </c>
      <c r="H261" s="3">
        <v>8.1</v>
      </c>
      <c r="I261" s="3">
        <v>6.68</v>
      </c>
      <c r="J261" s="3">
        <v>5.43</v>
      </c>
      <c r="K261" s="3">
        <v>4.18</v>
      </c>
    </row>
    <row r="262" spans="1:11" x14ac:dyDescent="0.25">
      <c r="A262" s="6">
        <v>13551</v>
      </c>
      <c r="B262" s="6">
        <v>13600</v>
      </c>
      <c r="C262" s="7">
        <v>21.53</v>
      </c>
      <c r="D262" s="2">
        <v>15.09</v>
      </c>
      <c r="E262" s="2">
        <v>13.28</v>
      </c>
      <c r="F262" s="2">
        <v>11.53</v>
      </c>
      <c r="G262" s="2">
        <v>9.81</v>
      </c>
      <c r="H262" s="2">
        <v>8.16</v>
      </c>
      <c r="I262" s="2">
        <v>6.74</v>
      </c>
      <c r="J262" s="2">
        <v>5.47</v>
      </c>
      <c r="K262" s="2">
        <v>4.24</v>
      </c>
    </row>
    <row r="263" spans="1:11" x14ac:dyDescent="0.25">
      <c r="A263" s="8">
        <v>13601</v>
      </c>
      <c r="B263" s="8">
        <v>13650</v>
      </c>
      <c r="C263" s="9">
        <v>21.59</v>
      </c>
      <c r="D263" s="3">
        <v>15.15</v>
      </c>
      <c r="E263" s="3">
        <v>13.35</v>
      </c>
      <c r="F263" s="3">
        <v>11.6</v>
      </c>
      <c r="G263" s="3">
        <v>9.8800000000000008</v>
      </c>
      <c r="H263" s="3">
        <v>8.23</v>
      </c>
      <c r="I263" s="3">
        <v>6.8</v>
      </c>
      <c r="J263" s="3">
        <v>5.55</v>
      </c>
      <c r="K263" s="3">
        <v>4.3099999999999996</v>
      </c>
    </row>
    <row r="264" spans="1:11" x14ac:dyDescent="0.25">
      <c r="A264" s="6">
        <v>13651</v>
      </c>
      <c r="B264" s="6">
        <v>13700</v>
      </c>
      <c r="C264" s="7">
        <v>21.63</v>
      </c>
      <c r="D264" s="2">
        <v>15.2</v>
      </c>
      <c r="E264" s="2">
        <v>13.39</v>
      </c>
      <c r="F264" s="2">
        <v>11.65</v>
      </c>
      <c r="G264" s="2">
        <v>9.94</v>
      </c>
      <c r="H264" s="2">
        <v>8.2799999999999994</v>
      </c>
      <c r="I264" s="2">
        <v>6.85</v>
      </c>
      <c r="J264" s="2">
        <v>5.59</v>
      </c>
      <c r="K264" s="2">
        <v>4.37</v>
      </c>
    </row>
    <row r="265" spans="1:11" x14ac:dyDescent="0.25">
      <c r="A265" s="8">
        <v>13701</v>
      </c>
      <c r="B265" s="8">
        <v>13750</v>
      </c>
      <c r="C265" s="9">
        <v>21.67</v>
      </c>
      <c r="D265" s="3">
        <v>15.24</v>
      </c>
      <c r="E265" s="3">
        <v>13.44</v>
      </c>
      <c r="F265" s="3">
        <v>11.7</v>
      </c>
      <c r="G265" s="3">
        <v>10</v>
      </c>
      <c r="H265" s="3">
        <v>8.34</v>
      </c>
      <c r="I265" s="3">
        <v>6.89</v>
      </c>
      <c r="J265" s="3">
        <v>5.64</v>
      </c>
      <c r="K265" s="3">
        <v>4.41</v>
      </c>
    </row>
    <row r="266" spans="1:11" x14ac:dyDescent="0.25">
      <c r="A266" s="6">
        <v>13751</v>
      </c>
      <c r="B266" s="6">
        <v>13800</v>
      </c>
      <c r="C266" s="7">
        <v>21.73</v>
      </c>
      <c r="D266" s="2">
        <v>15.31</v>
      </c>
      <c r="E266" s="2">
        <v>13.5</v>
      </c>
      <c r="F266" s="2">
        <v>11.76</v>
      </c>
      <c r="G266" s="2">
        <v>10.06</v>
      </c>
      <c r="H266" s="2">
        <v>8.41</v>
      </c>
      <c r="I266" s="2">
        <v>6.96</v>
      </c>
      <c r="J266" s="2">
        <v>5.7</v>
      </c>
      <c r="K266" s="2">
        <v>4.4800000000000004</v>
      </c>
    </row>
    <row r="267" spans="1:11" x14ac:dyDescent="0.25">
      <c r="A267" s="8">
        <v>13801</v>
      </c>
      <c r="B267" s="8">
        <v>13850</v>
      </c>
      <c r="C267" s="9">
        <v>21.77</v>
      </c>
      <c r="D267" s="3">
        <v>15.34</v>
      </c>
      <c r="E267" s="3">
        <v>13.55</v>
      </c>
      <c r="F267" s="3">
        <v>11.82</v>
      </c>
      <c r="G267" s="3">
        <v>10.11</v>
      </c>
      <c r="H267" s="3">
        <v>8.4700000000000006</v>
      </c>
      <c r="I267" s="3">
        <v>7</v>
      </c>
      <c r="J267" s="3">
        <v>5.76</v>
      </c>
      <c r="K267" s="3">
        <v>4.53</v>
      </c>
    </row>
    <row r="268" spans="1:11" x14ac:dyDescent="0.25">
      <c r="A268" s="6">
        <v>13851</v>
      </c>
      <c r="B268" s="6">
        <v>13900</v>
      </c>
      <c r="C268" s="7">
        <v>21.8</v>
      </c>
      <c r="D268" s="2">
        <v>15.39</v>
      </c>
      <c r="E268" s="2">
        <v>13.58</v>
      </c>
      <c r="F268" s="2">
        <v>11.87</v>
      </c>
      <c r="G268" s="2">
        <v>10.17</v>
      </c>
      <c r="H268" s="2">
        <v>8.52</v>
      </c>
      <c r="I268" s="2">
        <v>7.05</v>
      </c>
      <c r="J268" s="2">
        <v>5.8</v>
      </c>
      <c r="K268" s="2">
        <v>4.59</v>
      </c>
    </row>
    <row r="269" spans="1:11" x14ac:dyDescent="0.25">
      <c r="A269" s="8">
        <v>13901</v>
      </c>
      <c r="B269" s="8">
        <v>13950</v>
      </c>
      <c r="C269" s="9">
        <v>21.86</v>
      </c>
      <c r="D269" s="3">
        <v>15.45</v>
      </c>
      <c r="E269" s="3">
        <v>13.64</v>
      </c>
      <c r="F269" s="3">
        <v>11.93</v>
      </c>
      <c r="G269" s="3">
        <v>10.24</v>
      </c>
      <c r="H269" s="3">
        <v>8.59</v>
      </c>
      <c r="I269" s="3">
        <v>7.1</v>
      </c>
      <c r="J269" s="3">
        <v>5.86</v>
      </c>
      <c r="K269" s="3">
        <v>4.6500000000000004</v>
      </c>
    </row>
    <row r="270" spans="1:11" x14ac:dyDescent="0.25">
      <c r="A270" s="6">
        <v>13951</v>
      </c>
      <c r="B270" s="6">
        <v>14000</v>
      </c>
      <c r="C270" s="7">
        <v>21.9</v>
      </c>
      <c r="D270" s="2">
        <v>15.48</v>
      </c>
      <c r="E270" s="2">
        <v>13.69</v>
      </c>
      <c r="F270" s="2">
        <v>11.98</v>
      </c>
      <c r="G270" s="2">
        <v>10.29</v>
      </c>
      <c r="H270" s="2">
        <v>8.65</v>
      </c>
      <c r="I270" s="2">
        <v>7.14</v>
      </c>
      <c r="J270" s="2">
        <v>5.91</v>
      </c>
      <c r="K270" s="2">
        <v>4.7</v>
      </c>
    </row>
    <row r="271" spans="1:11" x14ac:dyDescent="0.25">
      <c r="A271" s="8">
        <v>14001</v>
      </c>
      <c r="B271" s="8">
        <v>14050</v>
      </c>
      <c r="C271" s="9">
        <v>21.93</v>
      </c>
      <c r="D271" s="3">
        <v>15.53</v>
      </c>
      <c r="E271" s="3">
        <v>13.73</v>
      </c>
      <c r="F271" s="3">
        <v>12.03</v>
      </c>
      <c r="G271" s="3">
        <v>10.34</v>
      </c>
      <c r="H271" s="3">
        <v>8.6999999999999993</v>
      </c>
      <c r="I271" s="3">
        <v>7.19</v>
      </c>
      <c r="J271" s="3">
        <v>5.95</v>
      </c>
      <c r="K271" s="3">
        <v>4.75</v>
      </c>
    </row>
    <row r="272" spans="1:11" x14ac:dyDescent="0.25">
      <c r="A272" s="6">
        <v>14051</v>
      </c>
      <c r="B272" s="6">
        <v>14100</v>
      </c>
      <c r="C272" s="7">
        <v>21.99</v>
      </c>
      <c r="D272" s="2">
        <v>15.59</v>
      </c>
      <c r="E272" s="2">
        <v>13.81</v>
      </c>
      <c r="F272" s="2">
        <v>12.09</v>
      </c>
      <c r="G272" s="2">
        <v>10.4</v>
      </c>
      <c r="H272" s="2">
        <v>8.77</v>
      </c>
      <c r="I272" s="2">
        <v>7.25</v>
      </c>
      <c r="J272" s="2">
        <v>6.02</v>
      </c>
      <c r="K272" s="2">
        <v>4.82</v>
      </c>
    </row>
    <row r="273" spans="1:11" x14ac:dyDescent="0.25">
      <c r="A273" s="8">
        <v>14101</v>
      </c>
      <c r="B273" s="8">
        <v>14150</v>
      </c>
      <c r="C273" s="9">
        <v>22.03</v>
      </c>
      <c r="D273" s="3">
        <v>15.63</v>
      </c>
      <c r="E273" s="3">
        <v>13.85</v>
      </c>
      <c r="F273" s="3">
        <v>12.14</v>
      </c>
      <c r="G273" s="3">
        <v>10.46</v>
      </c>
      <c r="H273" s="3">
        <v>8.82</v>
      </c>
      <c r="I273" s="3">
        <v>7.29</v>
      </c>
      <c r="J273" s="3">
        <v>6.06</v>
      </c>
      <c r="K273" s="3">
        <v>4.87</v>
      </c>
    </row>
    <row r="274" spans="1:11" x14ac:dyDescent="0.25">
      <c r="A274" s="6">
        <v>14151</v>
      </c>
      <c r="B274" s="6">
        <v>14200</v>
      </c>
      <c r="C274" s="7">
        <v>22.06</v>
      </c>
      <c r="D274" s="2">
        <v>15.67</v>
      </c>
      <c r="E274" s="2">
        <v>13.9</v>
      </c>
      <c r="F274" s="2">
        <v>12.18</v>
      </c>
      <c r="G274" s="2">
        <v>10.51</v>
      </c>
      <c r="H274" s="2">
        <v>8.8800000000000008</v>
      </c>
      <c r="I274" s="2">
        <v>7.33</v>
      </c>
      <c r="J274" s="2">
        <v>6.12</v>
      </c>
      <c r="K274" s="2">
        <v>4.91</v>
      </c>
    </row>
    <row r="275" spans="1:11" x14ac:dyDescent="0.25">
      <c r="A275" s="8">
        <v>14201</v>
      </c>
      <c r="B275" s="8">
        <v>14250</v>
      </c>
      <c r="C275" s="9">
        <v>22.1</v>
      </c>
      <c r="D275" s="3">
        <v>15.71</v>
      </c>
      <c r="E275" s="3">
        <v>13.94</v>
      </c>
      <c r="F275" s="3">
        <v>12.23</v>
      </c>
      <c r="G275" s="3">
        <v>10.55</v>
      </c>
      <c r="H275" s="3">
        <v>8.93</v>
      </c>
      <c r="I275" s="3">
        <v>7.38</v>
      </c>
      <c r="J275" s="3">
        <v>6.16</v>
      </c>
      <c r="K275" s="3">
        <v>4.97</v>
      </c>
    </row>
    <row r="276" spans="1:11" x14ac:dyDescent="0.25">
      <c r="A276" s="6">
        <v>14251</v>
      </c>
      <c r="B276" s="6">
        <v>14300</v>
      </c>
      <c r="C276" s="7">
        <v>22.15</v>
      </c>
      <c r="D276" s="2">
        <v>15.77</v>
      </c>
      <c r="E276" s="2">
        <v>14</v>
      </c>
      <c r="F276" s="2">
        <v>12.3</v>
      </c>
      <c r="G276" s="2">
        <v>10.62</v>
      </c>
      <c r="H276" s="2">
        <v>9</v>
      </c>
      <c r="I276" s="2">
        <v>7.43</v>
      </c>
      <c r="J276" s="2">
        <v>6.22</v>
      </c>
      <c r="K276" s="2">
        <v>5.03</v>
      </c>
    </row>
    <row r="277" spans="1:11" x14ac:dyDescent="0.25">
      <c r="A277" s="8">
        <v>14301</v>
      </c>
      <c r="B277" s="8">
        <v>14350</v>
      </c>
      <c r="C277" s="9">
        <v>22.19</v>
      </c>
      <c r="D277" s="3">
        <v>15.82</v>
      </c>
      <c r="E277" s="3">
        <v>14.05</v>
      </c>
      <c r="F277" s="3">
        <v>12.34</v>
      </c>
      <c r="G277" s="3">
        <v>10.68</v>
      </c>
      <c r="H277" s="3">
        <v>9.0500000000000007</v>
      </c>
      <c r="I277" s="3">
        <v>7.48</v>
      </c>
      <c r="J277" s="3">
        <v>6.27</v>
      </c>
      <c r="K277" s="3">
        <v>5.07</v>
      </c>
    </row>
    <row r="278" spans="1:11" x14ac:dyDescent="0.25">
      <c r="A278" s="6">
        <v>14351</v>
      </c>
      <c r="B278" s="6">
        <v>14400</v>
      </c>
      <c r="C278" s="7">
        <v>22.22</v>
      </c>
      <c r="D278" s="2">
        <v>15.86</v>
      </c>
      <c r="E278" s="2">
        <v>14.1</v>
      </c>
      <c r="F278" s="2">
        <v>12.39</v>
      </c>
      <c r="G278" s="2">
        <v>10.72</v>
      </c>
      <c r="H278" s="2">
        <v>9.1</v>
      </c>
      <c r="I278" s="2">
        <v>7.52</v>
      </c>
      <c r="J278" s="2">
        <v>6.32</v>
      </c>
      <c r="K278" s="2">
        <v>5.12</v>
      </c>
    </row>
    <row r="279" spans="1:11" x14ac:dyDescent="0.25">
      <c r="A279" s="8">
        <v>14401</v>
      </c>
      <c r="B279" s="8">
        <v>14450</v>
      </c>
      <c r="C279" s="9">
        <v>22.28</v>
      </c>
      <c r="D279" s="3">
        <v>15.92</v>
      </c>
      <c r="E279" s="3">
        <v>14.16</v>
      </c>
      <c r="F279" s="3">
        <v>12.45</v>
      </c>
      <c r="G279" s="3">
        <v>10.8</v>
      </c>
      <c r="H279" s="3">
        <v>9.17</v>
      </c>
      <c r="I279" s="3">
        <v>7.6</v>
      </c>
      <c r="J279" s="3">
        <v>6.38</v>
      </c>
      <c r="K279" s="3">
        <v>5.18</v>
      </c>
    </row>
    <row r="280" spans="1:11" x14ac:dyDescent="0.25">
      <c r="A280" s="6">
        <v>14451</v>
      </c>
      <c r="B280" s="6">
        <v>14500</v>
      </c>
      <c r="C280" s="7">
        <v>22.31</v>
      </c>
      <c r="D280" s="2">
        <v>15.96</v>
      </c>
      <c r="E280" s="2">
        <v>14.2</v>
      </c>
      <c r="F280" s="2">
        <v>12.5</v>
      </c>
      <c r="G280" s="2">
        <v>10.84</v>
      </c>
      <c r="H280" s="2">
        <v>9.23</v>
      </c>
      <c r="I280" s="2">
        <v>7.66</v>
      </c>
      <c r="J280" s="2">
        <v>6.42</v>
      </c>
      <c r="K280" s="2">
        <v>5.24</v>
      </c>
    </row>
    <row r="281" spans="1:11" x14ac:dyDescent="0.25">
      <c r="A281" s="8">
        <v>14501</v>
      </c>
      <c r="B281" s="8">
        <v>14550</v>
      </c>
      <c r="C281" s="9">
        <v>22.35</v>
      </c>
      <c r="D281" s="3">
        <v>16</v>
      </c>
      <c r="E281" s="3">
        <v>14.25</v>
      </c>
      <c r="F281" s="3">
        <v>12.54</v>
      </c>
      <c r="G281" s="3">
        <v>10.9</v>
      </c>
      <c r="H281" s="3">
        <v>9.27</v>
      </c>
      <c r="I281" s="3">
        <v>7.71</v>
      </c>
      <c r="J281" s="3">
        <v>6.46</v>
      </c>
      <c r="K281" s="3">
        <v>5.28</v>
      </c>
    </row>
    <row r="282" spans="1:11" x14ac:dyDescent="0.25">
      <c r="A282" s="6">
        <v>14551</v>
      </c>
      <c r="B282" s="6">
        <v>14600</v>
      </c>
      <c r="C282" s="7">
        <v>22.41</v>
      </c>
      <c r="D282" s="2">
        <v>16.059999999999999</v>
      </c>
      <c r="E282" s="2">
        <v>14.31</v>
      </c>
      <c r="F282" s="2">
        <v>12.6</v>
      </c>
      <c r="G282" s="2">
        <v>10.96</v>
      </c>
      <c r="H282" s="2">
        <v>9.34</v>
      </c>
      <c r="I282" s="2">
        <v>7.78</v>
      </c>
      <c r="J282" s="2">
        <v>6.52</v>
      </c>
      <c r="K282" s="2">
        <v>5.35</v>
      </c>
    </row>
    <row r="283" spans="1:11" x14ac:dyDescent="0.25">
      <c r="A283" s="8">
        <v>14601</v>
      </c>
      <c r="B283" s="8">
        <v>14650</v>
      </c>
      <c r="C283" s="9">
        <v>22.45</v>
      </c>
      <c r="D283" s="3">
        <v>16.100000000000001</v>
      </c>
      <c r="E283" s="3">
        <v>14.36</v>
      </c>
      <c r="F283" s="3">
        <v>12.64</v>
      </c>
      <c r="G283" s="3">
        <v>11.01</v>
      </c>
      <c r="H283" s="3">
        <v>9.4</v>
      </c>
      <c r="I283" s="3">
        <v>7.83</v>
      </c>
      <c r="J283" s="3">
        <v>6.57</v>
      </c>
      <c r="K283" s="3">
        <v>5.39</v>
      </c>
    </row>
    <row r="284" spans="1:11" x14ac:dyDescent="0.25">
      <c r="A284" s="6">
        <v>14651</v>
      </c>
      <c r="B284" s="6">
        <v>14700</v>
      </c>
      <c r="C284" s="7">
        <v>22.49</v>
      </c>
      <c r="D284" s="2">
        <v>16.14</v>
      </c>
      <c r="E284" s="2">
        <v>14.4</v>
      </c>
      <c r="F284" s="2">
        <v>12.69</v>
      </c>
      <c r="G284" s="2">
        <v>11.06</v>
      </c>
      <c r="H284" s="2">
        <v>9.4499999999999993</v>
      </c>
      <c r="I284" s="2">
        <v>7.89</v>
      </c>
      <c r="J284" s="2">
        <v>6.61</v>
      </c>
      <c r="K284" s="2">
        <v>5.44</v>
      </c>
    </row>
    <row r="285" spans="1:11" x14ac:dyDescent="0.25">
      <c r="A285" s="8">
        <v>14701</v>
      </c>
      <c r="B285" s="8">
        <v>14750</v>
      </c>
      <c r="C285" s="9">
        <v>22.55</v>
      </c>
      <c r="D285" s="3">
        <v>16.2</v>
      </c>
      <c r="E285" s="3">
        <v>14.46</v>
      </c>
      <c r="F285" s="3">
        <v>12.75</v>
      </c>
      <c r="G285" s="3">
        <v>11.12</v>
      </c>
      <c r="H285" s="3">
        <v>9.52</v>
      </c>
      <c r="I285" s="3">
        <v>7.96</v>
      </c>
      <c r="J285" s="3">
        <v>6.67</v>
      </c>
      <c r="K285" s="3">
        <v>5.49</v>
      </c>
    </row>
    <row r="286" spans="1:11" x14ac:dyDescent="0.25">
      <c r="A286" s="6">
        <v>14751</v>
      </c>
      <c r="B286" s="6">
        <v>14800</v>
      </c>
      <c r="C286" s="7">
        <v>22.59</v>
      </c>
      <c r="D286" s="2">
        <v>16.239999999999998</v>
      </c>
      <c r="E286" s="2">
        <v>14.5</v>
      </c>
      <c r="F286" s="2">
        <v>12.8</v>
      </c>
      <c r="G286" s="2">
        <v>11.18</v>
      </c>
      <c r="H286" s="2">
        <v>9.57</v>
      </c>
      <c r="I286" s="2">
        <v>8.02</v>
      </c>
      <c r="J286" s="2">
        <v>6.71</v>
      </c>
      <c r="K286" s="2">
        <v>5.54</v>
      </c>
    </row>
    <row r="287" spans="1:11" x14ac:dyDescent="0.25">
      <c r="A287" s="8">
        <v>14801</v>
      </c>
      <c r="B287" s="8">
        <v>14850</v>
      </c>
      <c r="C287" s="9">
        <v>22.63</v>
      </c>
      <c r="D287" s="3">
        <v>16.28</v>
      </c>
      <c r="E287" s="3">
        <v>14.55</v>
      </c>
      <c r="F287" s="3">
        <v>12.85</v>
      </c>
      <c r="G287" s="3">
        <v>11.22</v>
      </c>
      <c r="H287" s="3">
        <v>9.6199999999999992</v>
      </c>
      <c r="I287" s="3">
        <v>8.07</v>
      </c>
      <c r="J287" s="3">
        <v>6.76</v>
      </c>
      <c r="K287" s="3">
        <v>5.59</v>
      </c>
    </row>
    <row r="288" spans="1:11" x14ac:dyDescent="0.25">
      <c r="A288" s="6">
        <v>14851</v>
      </c>
      <c r="B288" s="6">
        <v>14900</v>
      </c>
      <c r="C288" s="7">
        <v>22.69</v>
      </c>
      <c r="D288" s="2">
        <v>16.329999999999998</v>
      </c>
      <c r="E288" s="2">
        <v>14.61</v>
      </c>
      <c r="F288" s="2">
        <v>12.91</v>
      </c>
      <c r="G288" s="2">
        <v>11.29</v>
      </c>
      <c r="H288" s="2">
        <v>9.69</v>
      </c>
      <c r="I288" s="2">
        <v>8.1300000000000008</v>
      </c>
      <c r="J288" s="2">
        <v>6.81</v>
      </c>
      <c r="K288" s="2">
        <v>5.65</v>
      </c>
    </row>
    <row r="289" spans="1:11" x14ac:dyDescent="0.25">
      <c r="A289" s="8">
        <v>14901</v>
      </c>
      <c r="B289" s="8">
        <v>14950</v>
      </c>
      <c r="C289" s="9">
        <v>22.72</v>
      </c>
      <c r="D289" s="3">
        <v>16.37</v>
      </c>
      <c r="E289" s="3">
        <v>14.64</v>
      </c>
      <c r="F289" s="3">
        <v>12.96</v>
      </c>
      <c r="G289" s="3">
        <v>11.33</v>
      </c>
      <c r="H289" s="3">
        <v>9.74</v>
      </c>
      <c r="I289" s="3">
        <v>8.19</v>
      </c>
      <c r="J289" s="3">
        <v>6.85</v>
      </c>
      <c r="K289" s="3">
        <v>5.7</v>
      </c>
    </row>
    <row r="290" spans="1:11" x14ac:dyDescent="0.25">
      <c r="A290" s="6">
        <v>14951</v>
      </c>
      <c r="B290" s="6">
        <v>15000</v>
      </c>
      <c r="C290" s="7">
        <v>22.76</v>
      </c>
      <c r="D290" s="2">
        <v>16.420000000000002</v>
      </c>
      <c r="E290" s="2">
        <v>14.69</v>
      </c>
      <c r="F290" s="2">
        <v>13.01</v>
      </c>
      <c r="G290" s="2">
        <v>11.38</v>
      </c>
      <c r="H290" s="2">
        <v>9.7799999999999994</v>
      </c>
      <c r="I290" s="2">
        <v>8.24</v>
      </c>
      <c r="J290" s="2">
        <v>6.9</v>
      </c>
      <c r="K290" s="2">
        <v>5.74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ECE1-4CDF-48B9-BBE6-B81F1F2556C7}">
  <dimension ref="A1:C744"/>
  <sheetViews>
    <sheetView workbookViewId="0">
      <selection activeCell="E11" sqref="E11"/>
    </sheetView>
  </sheetViews>
  <sheetFormatPr baseColWidth="10" defaultRowHeight="15" x14ac:dyDescent="0.25"/>
  <sheetData>
    <row r="1" spans="1:3" x14ac:dyDescent="0.25">
      <c r="A1" s="11">
        <v>0</v>
      </c>
      <c r="B1" s="12">
        <v>1650</v>
      </c>
      <c r="C1" s="13">
        <v>0</v>
      </c>
    </row>
    <row r="2" spans="1:3" x14ac:dyDescent="0.25">
      <c r="A2" s="11">
        <v>1651</v>
      </c>
      <c r="B2" s="12">
        <v>1700</v>
      </c>
      <c r="C2" s="13">
        <v>0.04</v>
      </c>
    </row>
    <row r="3" spans="1:3" x14ac:dyDescent="0.25">
      <c r="A3" s="11">
        <v>1701</v>
      </c>
      <c r="B3" s="12">
        <v>1750</v>
      </c>
      <c r="C3" s="13">
        <v>0.26</v>
      </c>
    </row>
    <row r="4" spans="1:3" x14ac:dyDescent="0.25">
      <c r="A4" s="11">
        <v>1751</v>
      </c>
      <c r="B4" s="12">
        <v>1800</v>
      </c>
      <c r="C4" s="13">
        <v>0.46</v>
      </c>
    </row>
    <row r="5" spans="1:3" x14ac:dyDescent="0.25">
      <c r="A5" s="11">
        <v>1801</v>
      </c>
      <c r="B5" s="12">
        <v>1850</v>
      </c>
      <c r="C5" s="13">
        <v>0.7</v>
      </c>
    </row>
    <row r="6" spans="1:3" x14ac:dyDescent="0.25">
      <c r="A6" s="11">
        <v>1851</v>
      </c>
      <c r="B6" s="12">
        <v>1900</v>
      </c>
      <c r="C6" s="13">
        <v>0.88</v>
      </c>
    </row>
    <row r="7" spans="1:3" x14ac:dyDescent="0.25">
      <c r="A7" s="11">
        <v>1901</v>
      </c>
      <c r="B7" s="12">
        <v>1950</v>
      </c>
      <c r="C7" s="13">
        <v>1.05</v>
      </c>
    </row>
    <row r="8" spans="1:3" x14ac:dyDescent="0.25">
      <c r="A8" s="11">
        <v>1951</v>
      </c>
      <c r="B8" s="12">
        <v>2000</v>
      </c>
      <c r="C8" s="13">
        <v>1.21</v>
      </c>
    </row>
    <row r="9" spans="1:3" x14ac:dyDescent="0.25">
      <c r="A9" s="11">
        <v>2001</v>
      </c>
      <c r="B9" s="12">
        <v>2050</v>
      </c>
      <c r="C9" s="13">
        <v>1.43</v>
      </c>
    </row>
    <row r="10" spans="1:3" x14ac:dyDescent="0.25">
      <c r="A10" s="11">
        <v>2051</v>
      </c>
      <c r="B10" s="12">
        <v>2100</v>
      </c>
      <c r="C10" s="13">
        <v>1.72</v>
      </c>
    </row>
    <row r="11" spans="1:3" x14ac:dyDescent="0.25">
      <c r="A11" s="11">
        <v>2101</v>
      </c>
      <c r="B11" s="12">
        <v>2150</v>
      </c>
      <c r="C11" s="13">
        <v>1.94</v>
      </c>
    </row>
    <row r="12" spans="1:3" x14ac:dyDescent="0.25">
      <c r="A12" s="11">
        <v>2151</v>
      </c>
      <c r="B12" s="12">
        <v>2200</v>
      </c>
      <c r="C12" s="13">
        <v>2.15</v>
      </c>
    </row>
    <row r="13" spans="1:3" x14ac:dyDescent="0.25">
      <c r="A13" s="11">
        <v>2201</v>
      </c>
      <c r="B13" s="12">
        <v>2250</v>
      </c>
      <c r="C13" s="13">
        <v>2.35</v>
      </c>
    </row>
    <row r="14" spans="1:3" x14ac:dyDescent="0.25">
      <c r="A14" s="11">
        <v>2251</v>
      </c>
      <c r="B14" s="12">
        <v>2300</v>
      </c>
      <c r="C14" s="13">
        <v>2.5499999999999998</v>
      </c>
    </row>
    <row r="15" spans="1:3" x14ac:dyDescent="0.25">
      <c r="A15" s="11">
        <v>2301</v>
      </c>
      <c r="B15" s="12">
        <v>2350</v>
      </c>
      <c r="C15" s="13">
        <v>2.81</v>
      </c>
    </row>
    <row r="16" spans="1:3" x14ac:dyDescent="0.25">
      <c r="A16" s="11">
        <v>2351</v>
      </c>
      <c r="B16" s="12">
        <v>2400</v>
      </c>
      <c r="C16" s="13">
        <v>3.04</v>
      </c>
    </row>
    <row r="17" spans="1:3" x14ac:dyDescent="0.25">
      <c r="A17" s="11">
        <v>2401</v>
      </c>
      <c r="B17" s="12">
        <v>2450</v>
      </c>
      <c r="C17" s="13">
        <v>3.26</v>
      </c>
    </row>
    <row r="18" spans="1:3" x14ac:dyDescent="0.25">
      <c r="A18" s="11">
        <v>2451</v>
      </c>
      <c r="B18" s="12">
        <v>2500</v>
      </c>
      <c r="C18" s="13">
        <v>3.57</v>
      </c>
    </row>
    <row r="19" spans="1:3" x14ac:dyDescent="0.25">
      <c r="A19" s="11">
        <v>2501</v>
      </c>
      <c r="B19" s="12">
        <v>2550</v>
      </c>
      <c r="C19" s="13">
        <v>3.78</v>
      </c>
    </row>
    <row r="20" spans="1:3" x14ac:dyDescent="0.25">
      <c r="A20" s="11">
        <v>2551</v>
      </c>
      <c r="B20" s="12">
        <v>2600</v>
      </c>
      <c r="C20" s="13">
        <v>4.04</v>
      </c>
    </row>
    <row r="21" spans="1:3" x14ac:dyDescent="0.25">
      <c r="A21" s="11">
        <v>2601</v>
      </c>
      <c r="B21" s="12">
        <v>2650</v>
      </c>
      <c r="C21" s="13">
        <v>4.24</v>
      </c>
    </row>
    <row r="22" spans="1:3" x14ac:dyDescent="0.25">
      <c r="A22" s="11">
        <v>2651</v>
      </c>
      <c r="B22" s="12">
        <v>2700</v>
      </c>
      <c r="C22" s="13">
        <v>4.43</v>
      </c>
    </row>
    <row r="23" spans="1:3" x14ac:dyDescent="0.25">
      <c r="A23" s="11">
        <v>2701</v>
      </c>
      <c r="B23" s="12">
        <v>2750</v>
      </c>
      <c r="C23" s="13">
        <v>4.6100000000000003</v>
      </c>
    </row>
    <row r="24" spans="1:3" x14ac:dyDescent="0.25">
      <c r="A24" s="11">
        <v>2751</v>
      </c>
      <c r="B24" s="12">
        <v>2800</v>
      </c>
      <c r="C24" s="13">
        <v>4.79</v>
      </c>
    </row>
    <row r="25" spans="1:3" x14ac:dyDescent="0.25">
      <c r="A25" s="11">
        <v>2801</v>
      </c>
      <c r="B25" s="12">
        <v>2850</v>
      </c>
      <c r="C25" s="13">
        <v>5.01</v>
      </c>
    </row>
    <row r="26" spans="1:3" x14ac:dyDescent="0.25">
      <c r="A26" s="11">
        <v>2851</v>
      </c>
      <c r="B26" s="12">
        <v>2900</v>
      </c>
      <c r="C26" s="13">
        <v>5.17</v>
      </c>
    </row>
    <row r="27" spans="1:3" x14ac:dyDescent="0.25">
      <c r="A27" s="11">
        <v>2901</v>
      </c>
      <c r="B27" s="12">
        <v>2950</v>
      </c>
      <c r="C27" s="13">
        <v>5.33</v>
      </c>
    </row>
    <row r="28" spans="1:3" x14ac:dyDescent="0.25">
      <c r="A28" s="11">
        <v>2951</v>
      </c>
      <c r="B28" s="12">
        <v>3000</v>
      </c>
      <c r="C28" s="13">
        <v>5.48</v>
      </c>
    </row>
    <row r="29" spans="1:3" x14ac:dyDescent="0.25">
      <c r="A29" s="11">
        <v>3001</v>
      </c>
      <c r="B29" s="12">
        <v>3050</v>
      </c>
      <c r="C29" s="13">
        <v>5.63</v>
      </c>
    </row>
    <row r="30" spans="1:3" x14ac:dyDescent="0.25">
      <c r="A30" s="11">
        <v>3051</v>
      </c>
      <c r="B30" s="12">
        <v>3100</v>
      </c>
      <c r="C30" s="13">
        <v>5.82</v>
      </c>
    </row>
    <row r="31" spans="1:3" x14ac:dyDescent="0.25">
      <c r="A31" s="11">
        <v>3101</v>
      </c>
      <c r="B31" s="12">
        <v>3150</v>
      </c>
      <c r="C31" s="13">
        <v>5.96</v>
      </c>
    </row>
    <row r="32" spans="1:3" x14ac:dyDescent="0.25">
      <c r="A32" s="11">
        <v>3151</v>
      </c>
      <c r="B32" s="12">
        <v>3200</v>
      </c>
      <c r="C32" s="13">
        <v>6.13</v>
      </c>
    </row>
    <row r="33" spans="1:3" x14ac:dyDescent="0.25">
      <c r="A33" s="11">
        <v>3201</v>
      </c>
      <c r="B33" s="12">
        <v>3250</v>
      </c>
      <c r="C33" s="13">
        <v>6.3</v>
      </c>
    </row>
    <row r="34" spans="1:3" x14ac:dyDescent="0.25">
      <c r="A34" s="11">
        <v>3251</v>
      </c>
      <c r="B34" s="12">
        <v>3300</v>
      </c>
      <c r="C34" s="13">
        <v>6.46</v>
      </c>
    </row>
    <row r="35" spans="1:3" x14ac:dyDescent="0.25">
      <c r="A35" s="11">
        <v>3301</v>
      </c>
      <c r="B35" s="12">
        <v>3350</v>
      </c>
      <c r="C35" s="13">
        <v>6.61</v>
      </c>
    </row>
    <row r="36" spans="1:3" x14ac:dyDescent="0.25">
      <c r="A36" s="11">
        <v>3351</v>
      </c>
      <c r="B36" s="12">
        <v>3400</v>
      </c>
      <c r="C36" s="13">
        <v>6.85</v>
      </c>
    </row>
    <row r="37" spans="1:3" x14ac:dyDescent="0.25">
      <c r="A37" s="11">
        <v>3401</v>
      </c>
      <c r="B37" s="12">
        <v>3450</v>
      </c>
      <c r="C37" s="13">
        <v>6.99</v>
      </c>
    </row>
    <row r="38" spans="1:3" x14ac:dyDescent="0.25">
      <c r="A38" s="11">
        <v>3451</v>
      </c>
      <c r="B38" s="12">
        <v>3500</v>
      </c>
      <c r="C38" s="13">
        <v>7.13</v>
      </c>
    </row>
    <row r="39" spans="1:3" x14ac:dyDescent="0.25">
      <c r="A39" s="11">
        <v>3501</v>
      </c>
      <c r="B39" s="12">
        <v>3550</v>
      </c>
      <c r="C39" s="13">
        <v>7.26</v>
      </c>
    </row>
    <row r="40" spans="1:3" x14ac:dyDescent="0.25">
      <c r="A40" s="11">
        <v>3551</v>
      </c>
      <c r="B40" s="12">
        <v>3600</v>
      </c>
      <c r="C40" s="13">
        <v>7.48</v>
      </c>
    </row>
    <row r="41" spans="1:3" x14ac:dyDescent="0.25">
      <c r="A41" s="11">
        <v>3601</v>
      </c>
      <c r="B41" s="12">
        <v>3650</v>
      </c>
      <c r="C41" s="13">
        <v>7.61</v>
      </c>
    </row>
    <row r="42" spans="1:3" x14ac:dyDescent="0.25">
      <c r="A42" s="11">
        <v>3651</v>
      </c>
      <c r="B42" s="12">
        <v>3700</v>
      </c>
      <c r="C42" s="13">
        <v>7.73</v>
      </c>
    </row>
    <row r="43" spans="1:3" x14ac:dyDescent="0.25">
      <c r="A43" s="11">
        <v>3701</v>
      </c>
      <c r="B43" s="12">
        <v>3750</v>
      </c>
      <c r="C43" s="13">
        <v>7.89</v>
      </c>
    </row>
    <row r="44" spans="1:3" x14ac:dyDescent="0.25">
      <c r="A44" s="11">
        <v>3751</v>
      </c>
      <c r="B44" s="12">
        <v>3800</v>
      </c>
      <c r="C44" s="13">
        <v>8.0500000000000007</v>
      </c>
    </row>
    <row r="45" spans="1:3" x14ac:dyDescent="0.25">
      <c r="A45" s="11">
        <v>3801</v>
      </c>
      <c r="B45" s="12">
        <v>3850</v>
      </c>
      <c r="C45" s="13">
        <v>8.16</v>
      </c>
    </row>
    <row r="46" spans="1:3" x14ac:dyDescent="0.25">
      <c r="A46" s="11">
        <v>3851</v>
      </c>
      <c r="B46" s="12">
        <v>3900</v>
      </c>
      <c r="C46" s="13">
        <v>8.3000000000000007</v>
      </c>
    </row>
    <row r="47" spans="1:3" x14ac:dyDescent="0.25">
      <c r="A47" s="11">
        <v>3901</v>
      </c>
      <c r="B47" s="12">
        <v>3950</v>
      </c>
      <c r="C47" s="13">
        <v>8.41</v>
      </c>
    </row>
    <row r="48" spans="1:3" x14ac:dyDescent="0.25">
      <c r="A48" s="11">
        <v>3951</v>
      </c>
      <c r="B48" s="12">
        <v>4000</v>
      </c>
      <c r="C48" s="13">
        <v>8.59</v>
      </c>
    </row>
    <row r="49" spans="1:3" x14ac:dyDescent="0.25">
      <c r="A49" s="11">
        <v>4001</v>
      </c>
      <c r="B49" s="12">
        <v>4050</v>
      </c>
      <c r="C49" s="13">
        <v>8.69</v>
      </c>
    </row>
    <row r="50" spans="1:3" x14ac:dyDescent="0.25">
      <c r="A50" s="11">
        <v>4051</v>
      </c>
      <c r="B50" s="12">
        <v>4100</v>
      </c>
      <c r="C50" s="13">
        <v>8.7899999999999991</v>
      </c>
    </row>
    <row r="51" spans="1:3" x14ac:dyDescent="0.25">
      <c r="A51" s="11">
        <v>4101</v>
      </c>
      <c r="B51" s="12">
        <v>4150</v>
      </c>
      <c r="C51" s="13">
        <v>8.9600000000000009</v>
      </c>
    </row>
    <row r="52" spans="1:3" x14ac:dyDescent="0.25">
      <c r="A52" s="11">
        <v>4151</v>
      </c>
      <c r="B52" s="12">
        <v>4200</v>
      </c>
      <c r="C52" s="13">
        <v>9.0500000000000007</v>
      </c>
    </row>
    <row r="53" spans="1:3" x14ac:dyDescent="0.25">
      <c r="A53" s="11">
        <v>4201</v>
      </c>
      <c r="B53" s="12">
        <v>4250</v>
      </c>
      <c r="C53" s="13">
        <v>9.14</v>
      </c>
    </row>
    <row r="54" spans="1:3" x14ac:dyDescent="0.25">
      <c r="A54" s="11">
        <v>4251</v>
      </c>
      <c r="B54" s="12">
        <v>4300</v>
      </c>
      <c r="C54" s="13">
        <v>9.23</v>
      </c>
    </row>
    <row r="55" spans="1:3" x14ac:dyDescent="0.25">
      <c r="A55" s="11">
        <v>4301</v>
      </c>
      <c r="B55" s="12">
        <v>4350</v>
      </c>
      <c r="C55" s="13">
        <v>9.39</v>
      </c>
    </row>
    <row r="56" spans="1:3" x14ac:dyDescent="0.25">
      <c r="A56" s="11">
        <v>4351</v>
      </c>
      <c r="B56" s="12">
        <v>4400</v>
      </c>
      <c r="C56" s="13">
        <v>9.4700000000000006</v>
      </c>
    </row>
    <row r="57" spans="1:3" x14ac:dyDescent="0.25">
      <c r="A57" s="11">
        <v>4401</v>
      </c>
      <c r="B57" s="12">
        <v>4450</v>
      </c>
      <c r="C57" s="13">
        <v>9.5500000000000007</v>
      </c>
    </row>
    <row r="58" spans="1:3" x14ac:dyDescent="0.25">
      <c r="A58" s="11">
        <v>4451</v>
      </c>
      <c r="B58" s="12">
        <v>4500</v>
      </c>
      <c r="C58" s="13">
        <v>9.67</v>
      </c>
    </row>
    <row r="59" spans="1:3" x14ac:dyDescent="0.25">
      <c r="A59" s="11">
        <v>4501</v>
      </c>
      <c r="B59" s="12">
        <v>4550</v>
      </c>
      <c r="C59" s="13">
        <v>9.74</v>
      </c>
    </row>
    <row r="60" spans="1:3" x14ac:dyDescent="0.25">
      <c r="A60" s="11">
        <v>4551</v>
      </c>
      <c r="B60" s="12">
        <v>4600</v>
      </c>
      <c r="C60" s="13">
        <v>9.82</v>
      </c>
    </row>
    <row r="61" spans="1:3" x14ac:dyDescent="0.25">
      <c r="A61" s="11">
        <v>4601</v>
      </c>
      <c r="B61" s="12">
        <v>4650</v>
      </c>
      <c r="C61" s="13">
        <v>9.93</v>
      </c>
    </row>
    <row r="62" spans="1:3" x14ac:dyDescent="0.25">
      <c r="A62" s="11">
        <v>4651</v>
      </c>
      <c r="B62" s="12">
        <v>4700</v>
      </c>
      <c r="C62" s="13">
        <v>10</v>
      </c>
    </row>
    <row r="63" spans="1:3" x14ac:dyDescent="0.25">
      <c r="A63" s="11">
        <v>4701</v>
      </c>
      <c r="B63" s="12">
        <v>4750</v>
      </c>
      <c r="C63" s="13">
        <v>10.08</v>
      </c>
    </row>
    <row r="64" spans="1:3" x14ac:dyDescent="0.25">
      <c r="A64" s="11">
        <v>4751</v>
      </c>
      <c r="B64" s="12">
        <v>4800</v>
      </c>
      <c r="C64" s="13">
        <v>10.16</v>
      </c>
    </row>
    <row r="65" spans="1:3" x14ac:dyDescent="0.25">
      <c r="A65" s="11">
        <v>4801</v>
      </c>
      <c r="B65" s="12">
        <v>4850</v>
      </c>
      <c r="C65" s="13">
        <v>10.24</v>
      </c>
    </row>
    <row r="66" spans="1:3" x14ac:dyDescent="0.25">
      <c r="A66" s="11">
        <v>4851</v>
      </c>
      <c r="B66" s="12">
        <v>4900</v>
      </c>
      <c r="C66" s="13">
        <v>10.35</v>
      </c>
    </row>
    <row r="67" spans="1:3" x14ac:dyDescent="0.25">
      <c r="A67" s="11">
        <v>4901</v>
      </c>
      <c r="B67" s="12">
        <v>4950</v>
      </c>
      <c r="C67" s="13">
        <v>10.43</v>
      </c>
    </row>
    <row r="68" spans="1:3" x14ac:dyDescent="0.25">
      <c r="A68" s="11">
        <v>4951</v>
      </c>
      <c r="B68" s="12">
        <v>5000</v>
      </c>
      <c r="C68" s="13">
        <v>10.51</v>
      </c>
    </row>
    <row r="69" spans="1:3" x14ac:dyDescent="0.25">
      <c r="A69" s="11">
        <v>5001</v>
      </c>
      <c r="B69" s="12">
        <v>5050</v>
      </c>
      <c r="C69" s="13">
        <v>10.6</v>
      </c>
    </row>
    <row r="70" spans="1:3" x14ac:dyDescent="0.25">
      <c r="A70" s="11">
        <v>5051</v>
      </c>
      <c r="B70" s="12">
        <v>5100</v>
      </c>
      <c r="C70" s="13">
        <v>10.68</v>
      </c>
    </row>
    <row r="71" spans="1:3" x14ac:dyDescent="0.25">
      <c r="A71" s="11">
        <v>5101</v>
      </c>
      <c r="B71" s="12">
        <v>5150</v>
      </c>
      <c r="C71" s="13">
        <v>10.8</v>
      </c>
    </row>
    <row r="72" spans="1:3" x14ac:dyDescent="0.25">
      <c r="A72" s="11">
        <v>5151</v>
      </c>
      <c r="B72" s="12">
        <v>5200</v>
      </c>
      <c r="C72" s="13">
        <v>10.88</v>
      </c>
    </row>
    <row r="73" spans="1:3" x14ac:dyDescent="0.25">
      <c r="A73" s="11">
        <v>5201</v>
      </c>
      <c r="B73" s="12">
        <v>5250</v>
      </c>
      <c r="C73" s="13">
        <v>10.96</v>
      </c>
    </row>
    <row r="74" spans="1:3" x14ac:dyDescent="0.25">
      <c r="A74" s="11">
        <v>5251</v>
      </c>
      <c r="B74" s="12">
        <v>5300</v>
      </c>
      <c r="C74" s="13">
        <v>11.04</v>
      </c>
    </row>
    <row r="75" spans="1:3" x14ac:dyDescent="0.25">
      <c r="A75" s="11">
        <v>5301</v>
      </c>
      <c r="B75" s="12">
        <v>5350</v>
      </c>
      <c r="C75" s="13">
        <v>11.12</v>
      </c>
    </row>
    <row r="76" spans="1:3" x14ac:dyDescent="0.25">
      <c r="A76" s="11">
        <v>5351</v>
      </c>
      <c r="B76" s="12">
        <v>5400</v>
      </c>
      <c r="C76" s="13">
        <v>11.23</v>
      </c>
    </row>
    <row r="77" spans="1:3" x14ac:dyDescent="0.25">
      <c r="A77" s="11">
        <v>5401</v>
      </c>
      <c r="B77" s="12">
        <v>5450</v>
      </c>
      <c r="C77" s="13">
        <v>11.3</v>
      </c>
    </row>
    <row r="78" spans="1:3" x14ac:dyDescent="0.25">
      <c r="A78" s="11">
        <v>5451</v>
      </c>
      <c r="B78" s="12">
        <v>5500</v>
      </c>
      <c r="C78" s="13">
        <v>11.38</v>
      </c>
    </row>
    <row r="79" spans="1:3" x14ac:dyDescent="0.25">
      <c r="A79" s="11">
        <v>5501</v>
      </c>
      <c r="B79" s="12">
        <v>5550</v>
      </c>
      <c r="C79" s="13">
        <v>11.45</v>
      </c>
    </row>
    <row r="80" spans="1:3" x14ac:dyDescent="0.25">
      <c r="A80" s="11">
        <v>5551</v>
      </c>
      <c r="B80" s="12">
        <v>5600</v>
      </c>
      <c r="C80" s="13">
        <v>11.52</v>
      </c>
    </row>
    <row r="81" spans="1:3" x14ac:dyDescent="0.25">
      <c r="A81" s="11">
        <v>5601</v>
      </c>
      <c r="B81" s="12">
        <v>5650</v>
      </c>
      <c r="C81" s="13">
        <v>11.59</v>
      </c>
    </row>
    <row r="82" spans="1:3" x14ac:dyDescent="0.25">
      <c r="A82" s="11">
        <v>5651</v>
      </c>
      <c r="B82" s="12">
        <v>5700</v>
      </c>
      <c r="C82" s="13">
        <v>11.65</v>
      </c>
    </row>
    <row r="83" spans="1:3" x14ac:dyDescent="0.25">
      <c r="A83" s="11">
        <v>5701</v>
      </c>
      <c r="B83" s="12">
        <v>5750</v>
      </c>
      <c r="C83" s="13">
        <v>11.72</v>
      </c>
    </row>
    <row r="84" spans="1:3" x14ac:dyDescent="0.25">
      <c r="A84" s="11">
        <v>5751</v>
      </c>
      <c r="B84" s="12">
        <v>5800</v>
      </c>
      <c r="C84" s="13">
        <v>11.79</v>
      </c>
    </row>
    <row r="85" spans="1:3" x14ac:dyDescent="0.25">
      <c r="A85" s="11">
        <v>5801</v>
      </c>
      <c r="B85" s="12">
        <v>5850</v>
      </c>
      <c r="C85" s="13">
        <v>11.85</v>
      </c>
    </row>
    <row r="86" spans="1:3" x14ac:dyDescent="0.25">
      <c r="A86" s="11">
        <v>5851</v>
      </c>
      <c r="B86" s="12">
        <v>5900</v>
      </c>
      <c r="C86" s="13">
        <v>11.91</v>
      </c>
    </row>
    <row r="87" spans="1:3" x14ac:dyDescent="0.25">
      <c r="A87" s="11">
        <v>5901</v>
      </c>
      <c r="B87" s="12">
        <v>5950</v>
      </c>
      <c r="C87" s="13">
        <v>11.97</v>
      </c>
    </row>
    <row r="88" spans="1:3" x14ac:dyDescent="0.25">
      <c r="A88" s="11">
        <v>5951</v>
      </c>
      <c r="B88" s="12">
        <v>6000</v>
      </c>
      <c r="C88" s="13">
        <v>12.03</v>
      </c>
    </row>
    <row r="89" spans="1:3" x14ac:dyDescent="0.25">
      <c r="A89" s="11">
        <v>6001</v>
      </c>
      <c r="B89" s="12">
        <v>6050</v>
      </c>
      <c r="C89" s="13">
        <v>12.09</v>
      </c>
    </row>
    <row r="90" spans="1:3" x14ac:dyDescent="0.25">
      <c r="A90" s="11">
        <v>6051</v>
      </c>
      <c r="B90" s="12">
        <v>6100</v>
      </c>
      <c r="C90" s="13">
        <v>12.15</v>
      </c>
    </row>
    <row r="91" spans="1:3" x14ac:dyDescent="0.25">
      <c r="A91" s="11">
        <v>6101</v>
      </c>
      <c r="B91" s="12">
        <v>6150</v>
      </c>
      <c r="C91" s="13">
        <v>12.21</v>
      </c>
    </row>
    <row r="92" spans="1:3" x14ac:dyDescent="0.25">
      <c r="A92" s="11">
        <v>6151</v>
      </c>
      <c r="B92" s="12">
        <v>6200</v>
      </c>
      <c r="C92" s="13">
        <v>12.27</v>
      </c>
    </row>
    <row r="93" spans="1:3" x14ac:dyDescent="0.25">
      <c r="A93" s="11">
        <v>6201</v>
      </c>
      <c r="B93" s="12">
        <v>6250</v>
      </c>
      <c r="C93" s="13">
        <v>12.32</v>
      </c>
    </row>
    <row r="94" spans="1:3" x14ac:dyDescent="0.25">
      <c r="A94" s="11">
        <v>6251</v>
      </c>
      <c r="B94" s="12">
        <v>6300</v>
      </c>
      <c r="C94" s="13">
        <v>12.41</v>
      </c>
    </row>
    <row r="95" spans="1:3" x14ac:dyDescent="0.25">
      <c r="A95" s="11">
        <v>6301</v>
      </c>
      <c r="B95" s="12">
        <v>6350</v>
      </c>
      <c r="C95" s="13">
        <v>12.46</v>
      </c>
    </row>
    <row r="96" spans="1:3" x14ac:dyDescent="0.25">
      <c r="A96" s="11">
        <v>6351</v>
      </c>
      <c r="B96" s="12">
        <v>6400</v>
      </c>
      <c r="C96" s="13">
        <v>12.51</v>
      </c>
    </row>
    <row r="97" spans="1:3" x14ac:dyDescent="0.25">
      <c r="A97" s="11">
        <v>6401</v>
      </c>
      <c r="B97" s="12">
        <v>6450</v>
      </c>
      <c r="C97" s="13">
        <v>12.57</v>
      </c>
    </row>
    <row r="98" spans="1:3" x14ac:dyDescent="0.25">
      <c r="A98" s="11">
        <v>6451</v>
      </c>
      <c r="B98" s="12">
        <v>6500</v>
      </c>
      <c r="C98" s="13">
        <v>12.62</v>
      </c>
    </row>
    <row r="99" spans="1:3" x14ac:dyDescent="0.25">
      <c r="A99" s="11">
        <v>6501</v>
      </c>
      <c r="B99" s="12">
        <v>6550</v>
      </c>
      <c r="C99" s="13">
        <v>12.67</v>
      </c>
    </row>
    <row r="100" spans="1:3" x14ac:dyDescent="0.25">
      <c r="A100" s="11">
        <v>6551</v>
      </c>
      <c r="B100" s="12">
        <v>6600</v>
      </c>
      <c r="C100" s="13">
        <v>12.73</v>
      </c>
    </row>
    <row r="101" spans="1:3" x14ac:dyDescent="0.25">
      <c r="A101" s="11">
        <v>6601</v>
      </c>
      <c r="B101" s="12">
        <v>6650</v>
      </c>
      <c r="C101" s="13">
        <v>12.78</v>
      </c>
    </row>
    <row r="102" spans="1:3" x14ac:dyDescent="0.25">
      <c r="A102" s="11">
        <v>6651</v>
      </c>
      <c r="B102" s="12">
        <v>6700</v>
      </c>
      <c r="C102" s="13">
        <v>12.83</v>
      </c>
    </row>
    <row r="103" spans="1:3" x14ac:dyDescent="0.25">
      <c r="A103" s="11">
        <v>6701</v>
      </c>
      <c r="B103" s="12">
        <v>6750</v>
      </c>
      <c r="C103" s="13">
        <v>12.88</v>
      </c>
    </row>
    <row r="104" spans="1:3" x14ac:dyDescent="0.25">
      <c r="A104" s="11">
        <v>6751</v>
      </c>
      <c r="B104" s="12">
        <v>6800</v>
      </c>
      <c r="C104" s="13">
        <v>12.93</v>
      </c>
    </row>
    <row r="105" spans="1:3" x14ac:dyDescent="0.25">
      <c r="A105" s="11">
        <v>6801</v>
      </c>
      <c r="B105" s="12">
        <v>6850</v>
      </c>
      <c r="C105" s="13">
        <v>12.97</v>
      </c>
    </row>
    <row r="106" spans="1:3" x14ac:dyDescent="0.25">
      <c r="A106" s="11">
        <v>6851</v>
      </c>
      <c r="B106" s="12">
        <v>6900</v>
      </c>
      <c r="C106" s="13">
        <v>13.02</v>
      </c>
    </row>
    <row r="107" spans="1:3" x14ac:dyDescent="0.25">
      <c r="A107" s="11">
        <v>6901</v>
      </c>
      <c r="B107" s="12">
        <v>6950</v>
      </c>
      <c r="C107" s="13">
        <v>13.07</v>
      </c>
    </row>
    <row r="108" spans="1:3" x14ac:dyDescent="0.25">
      <c r="A108" s="11">
        <v>6951</v>
      </c>
      <c r="B108" s="12">
        <v>7000</v>
      </c>
      <c r="C108" s="13">
        <v>13.11</v>
      </c>
    </row>
    <row r="109" spans="1:3" x14ac:dyDescent="0.25">
      <c r="A109" s="11">
        <v>7001</v>
      </c>
      <c r="B109" s="12">
        <v>7050</v>
      </c>
      <c r="C109" s="13">
        <v>13.16</v>
      </c>
    </row>
    <row r="110" spans="1:3" x14ac:dyDescent="0.25">
      <c r="A110" s="11">
        <v>7051</v>
      </c>
      <c r="B110" s="12">
        <v>7100</v>
      </c>
      <c r="C110" s="13">
        <v>13.2</v>
      </c>
    </row>
    <row r="111" spans="1:3" x14ac:dyDescent="0.25">
      <c r="A111" s="11">
        <v>7101</v>
      </c>
      <c r="B111" s="12">
        <v>7150</v>
      </c>
      <c r="C111" s="13">
        <v>13.25</v>
      </c>
    </row>
    <row r="112" spans="1:3" x14ac:dyDescent="0.25">
      <c r="A112" s="11">
        <v>7151</v>
      </c>
      <c r="B112" s="12">
        <v>7200</v>
      </c>
      <c r="C112" s="13">
        <v>13.29</v>
      </c>
    </row>
    <row r="113" spans="1:3" x14ac:dyDescent="0.25">
      <c r="A113" s="11">
        <v>7201</v>
      </c>
      <c r="B113" s="12">
        <v>7250</v>
      </c>
      <c r="C113" s="13">
        <v>13.34</v>
      </c>
    </row>
    <row r="114" spans="1:3" x14ac:dyDescent="0.25">
      <c r="A114" s="11">
        <v>7251</v>
      </c>
      <c r="B114" s="12">
        <v>7300</v>
      </c>
      <c r="C114" s="13">
        <v>13.38</v>
      </c>
    </row>
    <row r="115" spans="1:3" x14ac:dyDescent="0.25">
      <c r="A115" s="11">
        <v>7301</v>
      </c>
      <c r="B115" s="12">
        <v>7350</v>
      </c>
      <c r="C115" s="13">
        <v>13.43</v>
      </c>
    </row>
    <row r="116" spans="1:3" x14ac:dyDescent="0.25">
      <c r="A116" s="11">
        <v>7351</v>
      </c>
      <c r="B116" s="12">
        <v>7400</v>
      </c>
      <c r="C116" s="13">
        <v>13.48</v>
      </c>
    </row>
    <row r="117" spans="1:3" x14ac:dyDescent="0.25">
      <c r="A117" s="11">
        <v>7401</v>
      </c>
      <c r="B117" s="12">
        <v>7450</v>
      </c>
      <c r="C117" s="13">
        <v>13.54</v>
      </c>
    </row>
    <row r="118" spans="1:3" x14ac:dyDescent="0.25">
      <c r="A118" s="11">
        <v>7451</v>
      </c>
      <c r="B118" s="12">
        <v>7500</v>
      </c>
      <c r="C118" s="13">
        <v>13.59</v>
      </c>
    </row>
    <row r="119" spans="1:3" x14ac:dyDescent="0.25">
      <c r="A119" s="11">
        <v>7501</v>
      </c>
      <c r="B119" s="12">
        <v>7550</v>
      </c>
      <c r="C119" s="13">
        <v>13.64</v>
      </c>
    </row>
    <row r="120" spans="1:3" x14ac:dyDescent="0.25">
      <c r="A120" s="11">
        <v>7551</v>
      </c>
      <c r="B120" s="12">
        <v>7600</v>
      </c>
      <c r="C120" s="13">
        <v>13.7</v>
      </c>
    </row>
    <row r="121" spans="1:3" x14ac:dyDescent="0.25">
      <c r="A121" s="11">
        <v>7601</v>
      </c>
      <c r="B121" s="12">
        <v>7650</v>
      </c>
      <c r="C121" s="13">
        <v>13.75</v>
      </c>
    </row>
    <row r="122" spans="1:3" x14ac:dyDescent="0.25">
      <c r="A122" s="11">
        <v>7651</v>
      </c>
      <c r="B122" s="12">
        <v>7700</v>
      </c>
      <c r="C122" s="13">
        <v>13.8</v>
      </c>
    </row>
    <row r="123" spans="1:3" x14ac:dyDescent="0.25">
      <c r="A123" s="11">
        <v>7701</v>
      </c>
      <c r="B123" s="12">
        <v>7750</v>
      </c>
      <c r="C123" s="13">
        <v>13.85</v>
      </c>
    </row>
    <row r="124" spans="1:3" x14ac:dyDescent="0.25">
      <c r="A124" s="11">
        <v>7751</v>
      </c>
      <c r="B124" s="12">
        <v>7800</v>
      </c>
      <c r="C124" s="13">
        <v>13.9</v>
      </c>
    </row>
    <row r="125" spans="1:3" x14ac:dyDescent="0.25">
      <c r="A125" s="11">
        <v>7801</v>
      </c>
      <c r="B125" s="12">
        <v>7850</v>
      </c>
      <c r="C125" s="13">
        <v>13.95</v>
      </c>
    </row>
    <row r="126" spans="1:3" x14ac:dyDescent="0.25">
      <c r="A126" s="11">
        <v>7851</v>
      </c>
      <c r="B126" s="12">
        <v>7900</v>
      </c>
      <c r="C126" s="13">
        <v>14</v>
      </c>
    </row>
    <row r="127" spans="1:3" x14ac:dyDescent="0.25">
      <c r="A127" s="11">
        <v>7901</v>
      </c>
      <c r="B127" s="12">
        <v>7950</v>
      </c>
      <c r="C127" s="13">
        <v>14.04</v>
      </c>
    </row>
    <row r="128" spans="1:3" x14ac:dyDescent="0.25">
      <c r="A128" s="11">
        <v>7951</v>
      </c>
      <c r="B128" s="12">
        <v>8000</v>
      </c>
      <c r="C128" s="13">
        <v>14.09</v>
      </c>
    </row>
    <row r="129" spans="1:3" x14ac:dyDescent="0.25">
      <c r="A129" s="11">
        <v>8001</v>
      </c>
      <c r="B129" s="12">
        <v>8050</v>
      </c>
      <c r="C129" s="13">
        <v>14.14</v>
      </c>
    </row>
    <row r="130" spans="1:3" x14ac:dyDescent="0.25">
      <c r="A130" s="11">
        <v>8051</v>
      </c>
      <c r="B130" s="12">
        <v>8100</v>
      </c>
      <c r="C130" s="13">
        <v>14.19</v>
      </c>
    </row>
    <row r="131" spans="1:3" x14ac:dyDescent="0.25">
      <c r="A131" s="11">
        <v>8101</v>
      </c>
      <c r="B131" s="12">
        <v>8150</v>
      </c>
      <c r="C131" s="13">
        <v>14.23</v>
      </c>
    </row>
    <row r="132" spans="1:3" x14ac:dyDescent="0.25">
      <c r="A132" s="11">
        <v>8151</v>
      </c>
      <c r="B132" s="12">
        <v>8200</v>
      </c>
      <c r="C132" s="13">
        <v>14.28</v>
      </c>
    </row>
    <row r="133" spans="1:3" x14ac:dyDescent="0.25">
      <c r="A133" s="11">
        <v>8201</v>
      </c>
      <c r="B133" s="12">
        <v>8250</v>
      </c>
      <c r="C133" s="13">
        <v>14.34</v>
      </c>
    </row>
    <row r="134" spans="1:3" x14ac:dyDescent="0.25">
      <c r="A134" s="11">
        <v>8251</v>
      </c>
      <c r="B134" s="12">
        <v>8300</v>
      </c>
      <c r="C134" s="13">
        <v>14.4</v>
      </c>
    </row>
    <row r="135" spans="1:3" x14ac:dyDescent="0.25">
      <c r="A135" s="11">
        <v>8301</v>
      </c>
      <c r="B135" s="12">
        <v>8350</v>
      </c>
      <c r="C135" s="13">
        <v>14.46</v>
      </c>
    </row>
    <row r="136" spans="1:3" x14ac:dyDescent="0.25">
      <c r="A136" s="11">
        <v>8351</v>
      </c>
      <c r="B136" s="12">
        <v>8400</v>
      </c>
      <c r="C136" s="13">
        <v>14.51</v>
      </c>
    </row>
    <row r="137" spans="1:3" x14ac:dyDescent="0.25">
      <c r="A137" s="11">
        <v>8401</v>
      </c>
      <c r="B137" s="12">
        <v>8450</v>
      </c>
      <c r="C137" s="13">
        <v>14.57</v>
      </c>
    </row>
    <row r="138" spans="1:3" x14ac:dyDescent="0.25">
      <c r="A138" s="11">
        <v>8451</v>
      </c>
      <c r="B138" s="12">
        <v>8500</v>
      </c>
      <c r="C138" s="13">
        <v>14.63</v>
      </c>
    </row>
    <row r="139" spans="1:3" x14ac:dyDescent="0.25">
      <c r="A139" s="11">
        <v>8501</v>
      </c>
      <c r="B139" s="12">
        <v>8550</v>
      </c>
      <c r="C139" s="13">
        <v>14.68</v>
      </c>
    </row>
    <row r="140" spans="1:3" x14ac:dyDescent="0.25">
      <c r="A140" s="11">
        <v>8551</v>
      </c>
      <c r="B140" s="12">
        <v>8600</v>
      </c>
      <c r="C140" s="13">
        <v>14.74</v>
      </c>
    </row>
    <row r="141" spans="1:3" x14ac:dyDescent="0.25">
      <c r="A141" s="11">
        <v>8601</v>
      </c>
      <c r="B141" s="12">
        <v>8650</v>
      </c>
      <c r="C141" s="13">
        <v>14.79</v>
      </c>
    </row>
    <row r="142" spans="1:3" x14ac:dyDescent="0.25">
      <c r="A142" s="11">
        <v>8651</v>
      </c>
      <c r="B142" s="12">
        <v>8700</v>
      </c>
      <c r="C142" s="13">
        <v>14.85</v>
      </c>
    </row>
    <row r="143" spans="1:3" x14ac:dyDescent="0.25">
      <c r="A143" s="11">
        <v>8701</v>
      </c>
      <c r="B143" s="12">
        <v>8750</v>
      </c>
      <c r="C143" s="13">
        <v>14.9</v>
      </c>
    </row>
    <row r="144" spans="1:3" x14ac:dyDescent="0.25">
      <c r="A144" s="11">
        <v>8751</v>
      </c>
      <c r="B144" s="12">
        <v>8800</v>
      </c>
      <c r="C144" s="13">
        <v>14.95</v>
      </c>
    </row>
    <row r="145" spans="1:3" x14ac:dyDescent="0.25">
      <c r="A145" s="11">
        <v>8801</v>
      </c>
      <c r="B145" s="12">
        <v>8850</v>
      </c>
      <c r="C145" s="13">
        <v>15.01</v>
      </c>
    </row>
    <row r="146" spans="1:3" x14ac:dyDescent="0.25">
      <c r="A146" s="11">
        <v>8851</v>
      </c>
      <c r="B146" s="12">
        <v>8900</v>
      </c>
      <c r="C146" s="13">
        <v>15.06</v>
      </c>
    </row>
    <row r="147" spans="1:3" x14ac:dyDescent="0.25">
      <c r="A147" s="11">
        <v>8901</v>
      </c>
      <c r="B147" s="12">
        <v>8950</v>
      </c>
      <c r="C147" s="13">
        <v>15.11</v>
      </c>
    </row>
    <row r="148" spans="1:3" x14ac:dyDescent="0.25">
      <c r="A148" s="11">
        <v>8951</v>
      </c>
      <c r="B148" s="12">
        <v>9000</v>
      </c>
      <c r="C148" s="13">
        <v>15.17</v>
      </c>
    </row>
    <row r="149" spans="1:3" x14ac:dyDescent="0.25">
      <c r="A149" s="11">
        <v>9001</v>
      </c>
      <c r="B149" s="12">
        <v>9050</v>
      </c>
      <c r="C149" s="13">
        <v>15.22</v>
      </c>
    </row>
    <row r="150" spans="1:3" x14ac:dyDescent="0.25">
      <c r="A150" s="11">
        <v>9051</v>
      </c>
      <c r="B150" s="12">
        <v>9100</v>
      </c>
      <c r="C150" s="13">
        <v>15.27</v>
      </c>
    </row>
    <row r="151" spans="1:3" x14ac:dyDescent="0.25">
      <c r="A151" s="11">
        <v>9101</v>
      </c>
      <c r="B151" s="12">
        <v>9150</v>
      </c>
      <c r="C151" s="13">
        <v>15.32</v>
      </c>
    </row>
    <row r="152" spans="1:3" x14ac:dyDescent="0.25">
      <c r="A152" s="11">
        <v>9151</v>
      </c>
      <c r="B152" s="12">
        <v>9200</v>
      </c>
      <c r="C152" s="13">
        <v>15.37</v>
      </c>
    </row>
    <row r="153" spans="1:3" x14ac:dyDescent="0.25">
      <c r="A153" s="11">
        <v>9201</v>
      </c>
      <c r="B153" s="12">
        <v>9250</v>
      </c>
      <c r="C153" s="13">
        <v>15.42</v>
      </c>
    </row>
    <row r="154" spans="1:3" x14ac:dyDescent="0.25">
      <c r="A154" s="11">
        <v>9251</v>
      </c>
      <c r="B154" s="12">
        <v>9300</v>
      </c>
      <c r="C154" s="13">
        <v>15.47</v>
      </c>
    </row>
    <row r="155" spans="1:3" x14ac:dyDescent="0.25">
      <c r="A155" s="11">
        <v>9301</v>
      </c>
      <c r="B155" s="12">
        <v>9350</v>
      </c>
      <c r="C155" s="13">
        <v>15.52</v>
      </c>
    </row>
    <row r="156" spans="1:3" x14ac:dyDescent="0.25">
      <c r="A156" s="11">
        <v>9351</v>
      </c>
      <c r="B156" s="12">
        <v>9400</v>
      </c>
      <c r="C156" s="13">
        <v>15.57</v>
      </c>
    </row>
    <row r="157" spans="1:3" x14ac:dyDescent="0.25">
      <c r="A157" s="11">
        <v>9401</v>
      </c>
      <c r="B157" s="12">
        <v>9450</v>
      </c>
      <c r="C157" s="13">
        <v>15.64</v>
      </c>
    </row>
    <row r="158" spans="1:3" x14ac:dyDescent="0.25">
      <c r="A158" s="11">
        <v>9451</v>
      </c>
      <c r="B158" s="12">
        <v>9500</v>
      </c>
      <c r="C158" s="13">
        <v>15.69</v>
      </c>
    </row>
    <row r="159" spans="1:3" x14ac:dyDescent="0.25">
      <c r="A159" s="11">
        <v>9501</v>
      </c>
      <c r="B159" s="12">
        <v>9550</v>
      </c>
      <c r="C159" s="13">
        <v>15.74</v>
      </c>
    </row>
    <row r="160" spans="1:3" x14ac:dyDescent="0.25">
      <c r="A160" s="11">
        <v>9551</v>
      </c>
      <c r="B160" s="12">
        <v>9600</v>
      </c>
      <c r="C160" s="13">
        <v>15.78</v>
      </c>
    </row>
    <row r="161" spans="1:3" x14ac:dyDescent="0.25">
      <c r="A161" s="11">
        <v>9601</v>
      </c>
      <c r="B161" s="12">
        <v>9650</v>
      </c>
      <c r="C161" s="13">
        <v>15.83</v>
      </c>
    </row>
    <row r="162" spans="1:3" x14ac:dyDescent="0.25">
      <c r="A162" s="11">
        <v>9651</v>
      </c>
      <c r="B162" s="12">
        <v>9700</v>
      </c>
      <c r="C162" s="13">
        <v>15.87</v>
      </c>
    </row>
    <row r="163" spans="1:3" x14ac:dyDescent="0.25">
      <c r="A163" s="11">
        <v>9701</v>
      </c>
      <c r="B163" s="12">
        <v>9750</v>
      </c>
      <c r="C163" s="13">
        <v>15.92</v>
      </c>
    </row>
    <row r="164" spans="1:3" x14ac:dyDescent="0.25">
      <c r="A164" s="11">
        <v>9751</v>
      </c>
      <c r="B164" s="12">
        <v>9800</v>
      </c>
      <c r="C164" s="13">
        <v>15.96</v>
      </c>
    </row>
    <row r="165" spans="1:3" x14ac:dyDescent="0.25">
      <c r="A165" s="11">
        <v>9801</v>
      </c>
      <c r="B165" s="12">
        <v>9850</v>
      </c>
      <c r="C165" s="13">
        <v>16.010000000000002</v>
      </c>
    </row>
    <row r="166" spans="1:3" x14ac:dyDescent="0.25">
      <c r="A166" s="11">
        <v>9851</v>
      </c>
      <c r="B166" s="12">
        <v>9900</v>
      </c>
      <c r="C166" s="13">
        <v>16.05</v>
      </c>
    </row>
    <row r="167" spans="1:3" x14ac:dyDescent="0.25">
      <c r="A167" s="11">
        <v>9901</v>
      </c>
      <c r="B167" s="12">
        <v>9950</v>
      </c>
      <c r="C167" s="13">
        <v>16.09</v>
      </c>
    </row>
    <row r="168" spans="1:3" x14ac:dyDescent="0.25">
      <c r="A168" s="11">
        <v>9951</v>
      </c>
      <c r="B168" s="12">
        <v>10000</v>
      </c>
      <c r="C168" s="13">
        <v>16.14</v>
      </c>
    </row>
    <row r="169" spans="1:3" x14ac:dyDescent="0.25">
      <c r="A169" s="11">
        <v>10001</v>
      </c>
      <c r="B169" s="12">
        <v>10050</v>
      </c>
      <c r="C169" s="13">
        <v>16.190000000000001</v>
      </c>
    </row>
    <row r="170" spans="1:3" x14ac:dyDescent="0.25">
      <c r="A170" s="11">
        <v>10051</v>
      </c>
      <c r="B170" s="12">
        <v>10100</v>
      </c>
      <c r="C170" s="13">
        <v>16.25</v>
      </c>
    </row>
    <row r="171" spans="1:3" x14ac:dyDescent="0.25">
      <c r="A171" s="11">
        <v>10101</v>
      </c>
      <c r="B171" s="12">
        <v>10150</v>
      </c>
      <c r="C171" s="13">
        <v>16.3</v>
      </c>
    </row>
    <row r="172" spans="1:3" x14ac:dyDescent="0.25">
      <c r="A172" s="11">
        <v>10151</v>
      </c>
      <c r="B172" s="12">
        <v>10200</v>
      </c>
      <c r="C172" s="13">
        <v>16.350000000000001</v>
      </c>
    </row>
    <row r="173" spans="1:3" x14ac:dyDescent="0.25">
      <c r="A173" s="11">
        <v>10201</v>
      </c>
      <c r="B173" s="12">
        <v>10250</v>
      </c>
      <c r="C173" s="13">
        <v>16.399999999999999</v>
      </c>
    </row>
    <row r="174" spans="1:3" x14ac:dyDescent="0.25">
      <c r="A174" s="11">
        <v>10251</v>
      </c>
      <c r="B174" s="12">
        <v>10300</v>
      </c>
      <c r="C174" s="13">
        <v>16.45</v>
      </c>
    </row>
    <row r="175" spans="1:3" x14ac:dyDescent="0.25">
      <c r="A175" s="11">
        <v>10301</v>
      </c>
      <c r="B175" s="12">
        <v>10350</v>
      </c>
      <c r="C175" s="13">
        <v>16.510000000000002</v>
      </c>
    </row>
    <row r="176" spans="1:3" x14ac:dyDescent="0.25">
      <c r="A176" s="11">
        <v>10351</v>
      </c>
      <c r="B176" s="12">
        <v>10400</v>
      </c>
      <c r="C176" s="13">
        <v>16.559999999999999</v>
      </c>
    </row>
    <row r="177" spans="1:3" x14ac:dyDescent="0.25">
      <c r="A177" s="11">
        <v>10401</v>
      </c>
      <c r="B177" s="12">
        <v>10450</v>
      </c>
      <c r="C177" s="13">
        <v>16.61</v>
      </c>
    </row>
    <row r="178" spans="1:3" x14ac:dyDescent="0.25">
      <c r="A178" s="11">
        <v>10451</v>
      </c>
      <c r="B178" s="12">
        <v>10500</v>
      </c>
      <c r="C178" s="13">
        <v>16.649999999999999</v>
      </c>
    </row>
    <row r="179" spans="1:3" x14ac:dyDescent="0.25">
      <c r="A179" s="11">
        <v>10501</v>
      </c>
      <c r="B179" s="12">
        <v>10550</v>
      </c>
      <c r="C179" s="13">
        <v>16.7</v>
      </c>
    </row>
    <row r="180" spans="1:3" x14ac:dyDescent="0.25">
      <c r="A180" s="11">
        <v>10551</v>
      </c>
      <c r="B180" s="12">
        <v>10600</v>
      </c>
      <c r="C180" s="13">
        <v>16.75</v>
      </c>
    </row>
    <row r="181" spans="1:3" x14ac:dyDescent="0.25">
      <c r="A181" s="11">
        <v>10601</v>
      </c>
      <c r="B181" s="12">
        <v>10650</v>
      </c>
      <c r="C181" s="13">
        <v>16.8</v>
      </c>
    </row>
    <row r="182" spans="1:3" x14ac:dyDescent="0.25">
      <c r="A182" s="11">
        <v>10651</v>
      </c>
      <c r="B182" s="12">
        <v>10700</v>
      </c>
      <c r="C182" s="13">
        <v>16.850000000000001</v>
      </c>
    </row>
    <row r="183" spans="1:3" x14ac:dyDescent="0.25">
      <c r="A183" s="11">
        <v>10701</v>
      </c>
      <c r="B183" s="12">
        <v>10750</v>
      </c>
      <c r="C183" s="13">
        <v>16.89</v>
      </c>
    </row>
    <row r="184" spans="1:3" x14ac:dyDescent="0.25">
      <c r="A184" s="11">
        <v>10751</v>
      </c>
      <c r="B184" s="12">
        <v>10800</v>
      </c>
      <c r="C184" s="13">
        <v>16.940000000000001</v>
      </c>
    </row>
    <row r="185" spans="1:3" x14ac:dyDescent="0.25">
      <c r="A185" s="11">
        <v>10801</v>
      </c>
      <c r="B185" s="12">
        <v>10850</v>
      </c>
      <c r="C185" s="13">
        <v>16.989999999999998</v>
      </c>
    </row>
    <row r="186" spans="1:3" x14ac:dyDescent="0.25">
      <c r="A186" s="11">
        <v>10851</v>
      </c>
      <c r="B186" s="12">
        <v>10900</v>
      </c>
      <c r="C186" s="13">
        <v>17.03</v>
      </c>
    </row>
    <row r="187" spans="1:3" x14ac:dyDescent="0.25">
      <c r="A187" s="11">
        <v>10901</v>
      </c>
      <c r="B187" s="12">
        <v>10950</v>
      </c>
      <c r="C187" s="13">
        <v>17.079999999999998</v>
      </c>
    </row>
    <row r="188" spans="1:3" x14ac:dyDescent="0.25">
      <c r="A188" s="11">
        <v>10951</v>
      </c>
      <c r="B188" s="12">
        <v>11000</v>
      </c>
      <c r="C188" s="13">
        <v>17.12</v>
      </c>
    </row>
    <row r="189" spans="1:3" x14ac:dyDescent="0.25">
      <c r="A189" s="11">
        <v>11001</v>
      </c>
      <c r="B189" s="12">
        <v>11050</v>
      </c>
      <c r="C189" s="13">
        <v>17.170000000000002</v>
      </c>
    </row>
    <row r="190" spans="1:3" x14ac:dyDescent="0.25">
      <c r="A190" s="11">
        <v>11051</v>
      </c>
      <c r="B190" s="12">
        <v>11100</v>
      </c>
      <c r="C190" s="13">
        <v>17.21</v>
      </c>
    </row>
    <row r="191" spans="1:3" x14ac:dyDescent="0.25">
      <c r="A191" s="11">
        <v>11101</v>
      </c>
      <c r="B191" s="12">
        <v>11150</v>
      </c>
      <c r="C191" s="13">
        <v>17.260000000000002</v>
      </c>
    </row>
    <row r="192" spans="1:3" x14ac:dyDescent="0.25">
      <c r="A192" s="11">
        <v>11151</v>
      </c>
      <c r="B192" s="12">
        <v>11200</v>
      </c>
      <c r="C192" s="13">
        <v>17.3</v>
      </c>
    </row>
    <row r="193" spans="1:3" x14ac:dyDescent="0.25">
      <c r="A193" s="11">
        <v>11201</v>
      </c>
      <c r="B193" s="12">
        <v>11250</v>
      </c>
      <c r="C193" s="13">
        <v>17.34</v>
      </c>
    </row>
    <row r="194" spans="1:3" x14ac:dyDescent="0.25">
      <c r="A194" s="11">
        <v>11251</v>
      </c>
      <c r="B194" s="12">
        <v>11300</v>
      </c>
      <c r="C194" s="13">
        <v>17.41</v>
      </c>
    </row>
    <row r="195" spans="1:3" x14ac:dyDescent="0.25">
      <c r="A195" s="11">
        <v>11301</v>
      </c>
      <c r="B195" s="12">
        <v>11350</v>
      </c>
      <c r="C195" s="13">
        <v>17.45</v>
      </c>
    </row>
    <row r="196" spans="1:3" x14ac:dyDescent="0.25">
      <c r="A196" s="11">
        <v>11351</v>
      </c>
      <c r="B196" s="12">
        <v>11400</v>
      </c>
      <c r="C196" s="13">
        <v>17.489999999999998</v>
      </c>
    </row>
    <row r="197" spans="1:3" x14ac:dyDescent="0.25">
      <c r="A197" s="11">
        <v>11401</v>
      </c>
      <c r="B197" s="12">
        <v>11450</v>
      </c>
      <c r="C197" s="13">
        <v>17.54</v>
      </c>
    </row>
    <row r="198" spans="1:3" x14ac:dyDescent="0.25">
      <c r="A198" s="11">
        <v>11451</v>
      </c>
      <c r="B198" s="12">
        <v>11500</v>
      </c>
      <c r="C198" s="13">
        <v>17.59</v>
      </c>
    </row>
    <row r="199" spans="1:3" x14ac:dyDescent="0.25">
      <c r="A199" s="11">
        <v>11501</v>
      </c>
      <c r="B199" s="12">
        <v>11550</v>
      </c>
      <c r="C199" s="13">
        <v>17.649999999999999</v>
      </c>
    </row>
    <row r="200" spans="1:3" x14ac:dyDescent="0.25">
      <c r="A200" s="11">
        <v>11551</v>
      </c>
      <c r="B200" s="12">
        <v>11600</v>
      </c>
      <c r="C200" s="13">
        <v>17.7</v>
      </c>
    </row>
    <row r="201" spans="1:3" x14ac:dyDescent="0.25">
      <c r="A201" s="11">
        <v>11601</v>
      </c>
      <c r="B201" s="12">
        <v>11650</v>
      </c>
      <c r="C201" s="13">
        <v>17.75</v>
      </c>
    </row>
    <row r="202" spans="1:3" x14ac:dyDescent="0.25">
      <c r="A202" s="11">
        <v>11651</v>
      </c>
      <c r="B202" s="12">
        <v>11700</v>
      </c>
      <c r="C202" s="13">
        <v>17.8</v>
      </c>
    </row>
    <row r="203" spans="1:3" x14ac:dyDescent="0.25">
      <c r="A203" s="11">
        <v>11701</v>
      </c>
      <c r="B203" s="12">
        <v>11750</v>
      </c>
      <c r="C203" s="13">
        <v>17.850000000000001</v>
      </c>
    </row>
    <row r="204" spans="1:3" x14ac:dyDescent="0.25">
      <c r="A204" s="11">
        <v>11751</v>
      </c>
      <c r="B204" s="12">
        <v>11800</v>
      </c>
      <c r="C204" s="13">
        <v>17.91</v>
      </c>
    </row>
    <row r="205" spans="1:3" x14ac:dyDescent="0.25">
      <c r="A205" s="11">
        <v>11801</v>
      </c>
      <c r="B205" s="12">
        <v>11850</v>
      </c>
      <c r="C205" s="13">
        <v>17.96</v>
      </c>
    </row>
    <row r="206" spans="1:3" x14ac:dyDescent="0.25">
      <c r="A206" s="11">
        <v>11851</v>
      </c>
      <c r="B206" s="12">
        <v>11900</v>
      </c>
      <c r="C206" s="13">
        <v>18.010000000000002</v>
      </c>
    </row>
    <row r="207" spans="1:3" x14ac:dyDescent="0.25">
      <c r="A207" s="11">
        <v>11901</v>
      </c>
      <c r="B207" s="12">
        <v>11950</v>
      </c>
      <c r="C207" s="13">
        <v>18.05</v>
      </c>
    </row>
    <row r="208" spans="1:3" x14ac:dyDescent="0.25">
      <c r="A208" s="11">
        <v>11951</v>
      </c>
      <c r="B208" s="12">
        <v>12000</v>
      </c>
      <c r="C208" s="13">
        <v>18.100000000000001</v>
      </c>
    </row>
    <row r="209" spans="1:3" x14ac:dyDescent="0.25">
      <c r="A209" s="11">
        <v>12001</v>
      </c>
      <c r="B209" s="12">
        <v>12050</v>
      </c>
      <c r="C209" s="13">
        <v>18.16</v>
      </c>
    </row>
    <row r="210" spans="1:3" x14ac:dyDescent="0.25">
      <c r="A210" s="11">
        <v>12051</v>
      </c>
      <c r="B210" s="12">
        <v>12100</v>
      </c>
      <c r="C210" s="13">
        <v>18.21</v>
      </c>
    </row>
    <row r="211" spans="1:3" x14ac:dyDescent="0.25">
      <c r="A211" s="11">
        <v>12101</v>
      </c>
      <c r="B211" s="12">
        <v>12150</v>
      </c>
      <c r="C211" s="13">
        <v>18.25</v>
      </c>
    </row>
    <row r="212" spans="1:3" x14ac:dyDescent="0.25">
      <c r="A212" s="11">
        <v>12151</v>
      </c>
      <c r="B212" s="12">
        <v>12200</v>
      </c>
      <c r="C212" s="13">
        <v>18.3</v>
      </c>
    </row>
    <row r="213" spans="1:3" x14ac:dyDescent="0.25">
      <c r="A213" s="11">
        <v>12201</v>
      </c>
      <c r="B213" s="12">
        <v>12250</v>
      </c>
      <c r="C213" s="13">
        <v>18.34</v>
      </c>
    </row>
    <row r="214" spans="1:3" x14ac:dyDescent="0.25">
      <c r="A214" s="11">
        <v>12251</v>
      </c>
      <c r="B214" s="12">
        <v>12300</v>
      </c>
      <c r="C214" s="13">
        <v>18.399999999999999</v>
      </c>
    </row>
    <row r="215" spans="1:3" x14ac:dyDescent="0.25">
      <c r="A215" s="11">
        <v>12301</v>
      </c>
      <c r="B215" s="12">
        <v>12350</v>
      </c>
      <c r="C215" s="13">
        <v>18.45</v>
      </c>
    </row>
    <row r="216" spans="1:3" x14ac:dyDescent="0.25">
      <c r="A216" s="11">
        <v>12351</v>
      </c>
      <c r="B216" s="12">
        <v>12400</v>
      </c>
      <c r="C216" s="13">
        <v>18.489999999999998</v>
      </c>
    </row>
    <row r="217" spans="1:3" x14ac:dyDescent="0.25">
      <c r="A217" s="11">
        <v>12401</v>
      </c>
      <c r="B217" s="12">
        <v>12450</v>
      </c>
      <c r="C217" s="13">
        <v>18.53</v>
      </c>
    </row>
    <row r="218" spans="1:3" x14ac:dyDescent="0.25">
      <c r="A218" s="11">
        <v>12451</v>
      </c>
      <c r="B218" s="12">
        <v>12500</v>
      </c>
      <c r="C218" s="13">
        <v>18.59</v>
      </c>
    </row>
    <row r="219" spans="1:3" x14ac:dyDescent="0.25">
      <c r="A219" s="11">
        <v>12501</v>
      </c>
      <c r="B219" s="12">
        <v>12550</v>
      </c>
      <c r="C219" s="13">
        <v>18.63</v>
      </c>
    </row>
    <row r="220" spans="1:3" x14ac:dyDescent="0.25">
      <c r="A220" s="11">
        <v>12551</v>
      </c>
      <c r="B220" s="12">
        <v>12600</v>
      </c>
      <c r="C220" s="13">
        <v>18.68</v>
      </c>
    </row>
    <row r="221" spans="1:3" x14ac:dyDescent="0.25">
      <c r="A221" s="11">
        <v>12601</v>
      </c>
      <c r="B221" s="12">
        <v>12650</v>
      </c>
      <c r="C221" s="13">
        <v>18.739999999999998</v>
      </c>
    </row>
    <row r="222" spans="1:3" x14ac:dyDescent="0.25">
      <c r="A222" s="11">
        <v>12651</v>
      </c>
      <c r="B222" s="12">
        <v>12700</v>
      </c>
      <c r="C222" s="13">
        <v>18.78</v>
      </c>
    </row>
    <row r="223" spans="1:3" x14ac:dyDescent="0.25">
      <c r="A223" s="11">
        <v>12701</v>
      </c>
      <c r="B223" s="12">
        <v>12750</v>
      </c>
      <c r="C223" s="13">
        <v>18.82</v>
      </c>
    </row>
    <row r="224" spans="1:3" x14ac:dyDescent="0.25">
      <c r="A224" s="11">
        <v>12751</v>
      </c>
      <c r="B224" s="12">
        <v>12800</v>
      </c>
      <c r="C224" s="13">
        <v>18.89</v>
      </c>
    </row>
    <row r="225" spans="1:3" x14ac:dyDescent="0.25">
      <c r="A225" s="11">
        <v>12801</v>
      </c>
      <c r="B225" s="12">
        <v>12850</v>
      </c>
      <c r="C225" s="13">
        <v>18.93</v>
      </c>
    </row>
    <row r="226" spans="1:3" x14ac:dyDescent="0.25">
      <c r="A226" s="11">
        <v>12851</v>
      </c>
      <c r="B226" s="12">
        <v>12900</v>
      </c>
      <c r="C226" s="13">
        <v>18.97</v>
      </c>
    </row>
    <row r="227" spans="1:3" x14ac:dyDescent="0.25">
      <c r="A227" s="11">
        <v>12901</v>
      </c>
      <c r="B227" s="12">
        <v>12950</v>
      </c>
      <c r="C227" s="13">
        <v>19.03</v>
      </c>
    </row>
    <row r="228" spans="1:3" x14ac:dyDescent="0.25">
      <c r="A228" s="11">
        <v>12951</v>
      </c>
      <c r="B228" s="12">
        <v>13000</v>
      </c>
      <c r="C228" s="13">
        <v>19.07</v>
      </c>
    </row>
    <row r="229" spans="1:3" x14ac:dyDescent="0.25">
      <c r="A229" s="11">
        <v>13001</v>
      </c>
      <c r="B229" s="12">
        <v>13050</v>
      </c>
      <c r="C229" s="13">
        <v>19.11</v>
      </c>
    </row>
    <row r="230" spans="1:3" x14ac:dyDescent="0.25">
      <c r="A230" s="11">
        <v>13051</v>
      </c>
      <c r="B230" s="12">
        <v>13100</v>
      </c>
      <c r="C230" s="13">
        <v>19.170000000000002</v>
      </c>
    </row>
    <row r="231" spans="1:3" x14ac:dyDescent="0.25">
      <c r="A231" s="11">
        <v>13101</v>
      </c>
      <c r="B231" s="12">
        <v>13150</v>
      </c>
      <c r="C231" s="13">
        <v>19.21</v>
      </c>
    </row>
    <row r="232" spans="1:3" x14ac:dyDescent="0.25">
      <c r="A232" s="11">
        <v>13151</v>
      </c>
      <c r="B232" s="12">
        <v>13200</v>
      </c>
      <c r="C232" s="13">
        <v>19.25</v>
      </c>
    </row>
    <row r="233" spans="1:3" x14ac:dyDescent="0.25">
      <c r="A233" s="11">
        <v>13201</v>
      </c>
      <c r="B233" s="12">
        <v>13250</v>
      </c>
      <c r="C233" s="13">
        <v>19.309999999999999</v>
      </c>
    </row>
    <row r="234" spans="1:3" x14ac:dyDescent="0.25">
      <c r="A234" s="11">
        <v>13251</v>
      </c>
      <c r="B234" s="12">
        <v>13300</v>
      </c>
      <c r="C234" s="13">
        <v>19.350000000000001</v>
      </c>
    </row>
    <row r="235" spans="1:3" x14ac:dyDescent="0.25">
      <c r="A235" s="11">
        <v>13301</v>
      </c>
      <c r="B235" s="12">
        <v>13350</v>
      </c>
      <c r="C235" s="13">
        <v>19.39</v>
      </c>
    </row>
    <row r="236" spans="1:3" x14ac:dyDescent="0.25">
      <c r="A236" s="11">
        <v>13351</v>
      </c>
      <c r="B236" s="12">
        <v>13400</v>
      </c>
      <c r="C236" s="13">
        <v>19.440000000000001</v>
      </c>
    </row>
    <row r="237" spans="1:3" x14ac:dyDescent="0.25">
      <c r="A237" s="11">
        <v>13401</v>
      </c>
      <c r="B237" s="12">
        <v>13450</v>
      </c>
      <c r="C237" s="13">
        <v>19.48</v>
      </c>
    </row>
    <row r="238" spans="1:3" x14ac:dyDescent="0.25">
      <c r="A238" s="11">
        <v>13451</v>
      </c>
      <c r="B238" s="12">
        <v>13500</v>
      </c>
      <c r="C238" s="13">
        <v>19.52</v>
      </c>
    </row>
    <row r="239" spans="1:3" x14ac:dyDescent="0.25">
      <c r="A239" s="11">
        <v>13501</v>
      </c>
      <c r="B239" s="12">
        <v>13550</v>
      </c>
      <c r="C239" s="13">
        <v>19.559999999999999</v>
      </c>
    </row>
    <row r="240" spans="1:3" x14ac:dyDescent="0.25">
      <c r="A240" s="11">
        <v>13551</v>
      </c>
      <c r="B240" s="12">
        <v>13600</v>
      </c>
      <c r="C240" s="13">
        <v>19.61</v>
      </c>
    </row>
    <row r="241" spans="1:3" x14ac:dyDescent="0.25">
      <c r="A241" s="11">
        <v>13601</v>
      </c>
      <c r="B241" s="12">
        <v>13650</v>
      </c>
      <c r="C241" s="13">
        <v>19.649999999999999</v>
      </c>
    </row>
    <row r="242" spans="1:3" x14ac:dyDescent="0.25">
      <c r="A242" s="11">
        <v>13651</v>
      </c>
      <c r="B242" s="12">
        <v>13700</v>
      </c>
      <c r="C242" s="13">
        <v>19.68</v>
      </c>
    </row>
    <row r="243" spans="1:3" x14ac:dyDescent="0.25">
      <c r="A243" s="11">
        <v>13701</v>
      </c>
      <c r="B243" s="12">
        <v>13750</v>
      </c>
      <c r="C243" s="13">
        <v>19.739999999999998</v>
      </c>
    </row>
    <row r="244" spans="1:3" x14ac:dyDescent="0.25">
      <c r="A244" s="11">
        <v>13751</v>
      </c>
      <c r="B244" s="12">
        <v>13800</v>
      </c>
      <c r="C244" s="13">
        <v>19.77</v>
      </c>
    </row>
    <row r="245" spans="1:3" x14ac:dyDescent="0.25">
      <c r="A245" s="11">
        <v>13801</v>
      </c>
      <c r="B245" s="12">
        <v>13850</v>
      </c>
      <c r="C245" s="13">
        <v>19.809999999999999</v>
      </c>
    </row>
    <row r="246" spans="1:3" x14ac:dyDescent="0.25">
      <c r="A246" s="11">
        <v>13851</v>
      </c>
      <c r="B246" s="12">
        <v>13900</v>
      </c>
      <c r="C246" s="13">
        <v>19.86</v>
      </c>
    </row>
    <row r="247" spans="1:3" x14ac:dyDescent="0.25">
      <c r="A247" s="11">
        <v>13901</v>
      </c>
      <c r="B247" s="12">
        <v>13950</v>
      </c>
      <c r="C247" s="13">
        <v>19.899999999999999</v>
      </c>
    </row>
    <row r="248" spans="1:3" x14ac:dyDescent="0.25">
      <c r="A248" s="11">
        <v>13951</v>
      </c>
      <c r="B248" s="12">
        <v>14000</v>
      </c>
      <c r="C248" s="13">
        <v>19.93</v>
      </c>
    </row>
    <row r="249" spans="1:3" x14ac:dyDescent="0.25">
      <c r="A249" s="11">
        <v>14001</v>
      </c>
      <c r="B249" s="12">
        <v>14050</v>
      </c>
      <c r="C249" s="13">
        <v>19.98</v>
      </c>
    </row>
    <row r="250" spans="1:3" x14ac:dyDescent="0.25">
      <c r="A250" s="11">
        <v>14051</v>
      </c>
      <c r="B250" s="12">
        <v>14100</v>
      </c>
      <c r="C250" s="13">
        <v>20.02</v>
      </c>
    </row>
    <row r="251" spans="1:3" x14ac:dyDescent="0.25">
      <c r="A251" s="11">
        <v>14101</v>
      </c>
      <c r="B251" s="12">
        <v>14150</v>
      </c>
      <c r="C251" s="13">
        <v>20.05</v>
      </c>
    </row>
    <row r="252" spans="1:3" x14ac:dyDescent="0.25">
      <c r="A252" s="11">
        <v>14151</v>
      </c>
      <c r="B252" s="12">
        <v>14200</v>
      </c>
      <c r="C252" s="13">
        <v>20.100000000000001</v>
      </c>
    </row>
    <row r="253" spans="1:3" x14ac:dyDescent="0.25">
      <c r="A253" s="11">
        <v>14201</v>
      </c>
      <c r="B253" s="12">
        <v>14250</v>
      </c>
      <c r="C253" s="13">
        <v>20.14</v>
      </c>
    </row>
    <row r="254" spans="1:3" x14ac:dyDescent="0.25">
      <c r="A254" s="11">
        <v>14251</v>
      </c>
      <c r="B254" s="12">
        <v>14300</v>
      </c>
      <c r="C254" s="13">
        <v>20.170000000000002</v>
      </c>
    </row>
    <row r="255" spans="1:3" x14ac:dyDescent="0.25">
      <c r="A255" s="11">
        <v>14301</v>
      </c>
      <c r="B255" s="12">
        <v>14350</v>
      </c>
      <c r="C255" s="13">
        <v>20.22</v>
      </c>
    </row>
    <row r="256" spans="1:3" x14ac:dyDescent="0.25">
      <c r="A256" s="11">
        <v>14351</v>
      </c>
      <c r="B256" s="12">
        <v>14400</v>
      </c>
      <c r="C256" s="13">
        <v>20.25</v>
      </c>
    </row>
    <row r="257" spans="1:3" x14ac:dyDescent="0.25">
      <c r="A257" s="11">
        <v>14401</v>
      </c>
      <c r="B257" s="12">
        <v>14450</v>
      </c>
      <c r="C257" s="13">
        <v>20.29</v>
      </c>
    </row>
    <row r="258" spans="1:3" x14ac:dyDescent="0.25">
      <c r="A258" s="11">
        <v>14451</v>
      </c>
      <c r="B258" s="12">
        <v>14500</v>
      </c>
      <c r="C258" s="13">
        <v>20.329999999999998</v>
      </c>
    </row>
    <row r="259" spans="1:3" x14ac:dyDescent="0.25">
      <c r="A259" s="11">
        <v>14501</v>
      </c>
      <c r="B259" s="12">
        <v>14550</v>
      </c>
      <c r="C259" s="13">
        <v>20.37</v>
      </c>
    </row>
    <row r="260" spans="1:3" x14ac:dyDescent="0.25">
      <c r="A260" s="11">
        <v>14551</v>
      </c>
      <c r="B260" s="12">
        <v>14600</v>
      </c>
      <c r="C260" s="13">
        <v>20.41</v>
      </c>
    </row>
    <row r="261" spans="1:3" x14ac:dyDescent="0.25">
      <c r="A261" s="11">
        <v>14601</v>
      </c>
      <c r="B261" s="12">
        <v>14650</v>
      </c>
      <c r="C261" s="13">
        <v>20.46</v>
      </c>
    </row>
    <row r="262" spans="1:3" x14ac:dyDescent="0.25">
      <c r="A262" s="11">
        <v>14651</v>
      </c>
      <c r="B262" s="12">
        <v>14700</v>
      </c>
      <c r="C262" s="13">
        <v>20.5</v>
      </c>
    </row>
    <row r="263" spans="1:3" x14ac:dyDescent="0.25">
      <c r="A263" s="11">
        <v>14701</v>
      </c>
      <c r="B263" s="12">
        <v>14750</v>
      </c>
      <c r="C263" s="13">
        <v>20.54</v>
      </c>
    </row>
    <row r="264" spans="1:3" x14ac:dyDescent="0.25">
      <c r="A264" s="11">
        <v>14751</v>
      </c>
      <c r="B264" s="12">
        <v>14800</v>
      </c>
      <c r="C264" s="13">
        <v>20.59</v>
      </c>
    </row>
    <row r="265" spans="1:3" x14ac:dyDescent="0.25">
      <c r="A265" s="11">
        <v>14801</v>
      </c>
      <c r="B265" s="12">
        <v>14850</v>
      </c>
      <c r="C265" s="13">
        <v>20.63</v>
      </c>
    </row>
    <row r="266" spans="1:3" x14ac:dyDescent="0.25">
      <c r="A266" s="11">
        <v>14851</v>
      </c>
      <c r="B266" s="12">
        <v>14900</v>
      </c>
      <c r="C266" s="13">
        <v>20.67</v>
      </c>
    </row>
    <row r="267" spans="1:3" x14ac:dyDescent="0.25">
      <c r="A267" s="11">
        <v>14901</v>
      </c>
      <c r="B267" s="12">
        <v>14950</v>
      </c>
      <c r="C267" s="13">
        <v>20.7</v>
      </c>
    </row>
    <row r="268" spans="1:3" x14ac:dyDescent="0.25">
      <c r="A268" s="11">
        <v>14951</v>
      </c>
      <c r="B268" s="12">
        <v>15000</v>
      </c>
      <c r="C268" s="13">
        <v>20.76</v>
      </c>
    </row>
    <row r="269" spans="1:3" x14ac:dyDescent="0.25">
      <c r="A269" s="11">
        <v>15001</v>
      </c>
      <c r="B269" s="12">
        <v>15050</v>
      </c>
      <c r="C269" s="13">
        <v>20.79</v>
      </c>
    </row>
    <row r="270" spans="1:3" x14ac:dyDescent="0.25">
      <c r="A270" s="11">
        <v>15051</v>
      </c>
      <c r="B270" s="12">
        <v>15100</v>
      </c>
      <c r="C270" s="13">
        <v>20.83</v>
      </c>
    </row>
    <row r="271" spans="1:3" x14ac:dyDescent="0.25">
      <c r="A271" s="11">
        <v>15101</v>
      </c>
      <c r="B271" s="12">
        <v>15150</v>
      </c>
      <c r="C271" s="13">
        <v>20.88</v>
      </c>
    </row>
    <row r="272" spans="1:3" x14ac:dyDescent="0.25">
      <c r="A272" s="11">
        <v>15151</v>
      </c>
      <c r="B272" s="12">
        <v>15200</v>
      </c>
      <c r="C272" s="13">
        <v>20.92</v>
      </c>
    </row>
    <row r="273" spans="1:3" x14ac:dyDescent="0.25">
      <c r="A273" s="11">
        <v>15201</v>
      </c>
      <c r="B273" s="12">
        <v>15250</v>
      </c>
      <c r="C273" s="13">
        <v>20.96</v>
      </c>
    </row>
    <row r="274" spans="1:3" x14ac:dyDescent="0.25">
      <c r="A274" s="11">
        <v>15251</v>
      </c>
      <c r="B274" s="12">
        <v>15300</v>
      </c>
      <c r="C274" s="13">
        <v>21.01</v>
      </c>
    </row>
    <row r="275" spans="1:3" x14ac:dyDescent="0.25">
      <c r="A275" s="11">
        <v>15301</v>
      </c>
      <c r="B275" s="12">
        <v>15350</v>
      </c>
      <c r="C275" s="13">
        <v>21.04</v>
      </c>
    </row>
    <row r="276" spans="1:3" x14ac:dyDescent="0.25">
      <c r="A276" s="11">
        <v>15351</v>
      </c>
      <c r="B276" s="12">
        <v>15400</v>
      </c>
      <c r="C276" s="13">
        <v>21.08</v>
      </c>
    </row>
    <row r="277" spans="1:3" x14ac:dyDescent="0.25">
      <c r="A277" s="11">
        <v>15401</v>
      </c>
      <c r="B277" s="12">
        <v>15450</v>
      </c>
      <c r="C277" s="13">
        <v>21.13</v>
      </c>
    </row>
    <row r="278" spans="1:3" x14ac:dyDescent="0.25">
      <c r="A278" s="11">
        <v>15451</v>
      </c>
      <c r="B278" s="12">
        <v>15500</v>
      </c>
      <c r="C278" s="13">
        <v>21.17</v>
      </c>
    </row>
    <row r="279" spans="1:3" x14ac:dyDescent="0.25">
      <c r="A279" s="11">
        <v>15501</v>
      </c>
      <c r="B279" s="12">
        <v>15550</v>
      </c>
      <c r="C279" s="13">
        <v>21.2</v>
      </c>
    </row>
    <row r="280" spans="1:3" x14ac:dyDescent="0.25">
      <c r="A280" s="11">
        <v>15551</v>
      </c>
      <c r="B280" s="12">
        <v>15600</v>
      </c>
      <c r="C280" s="13">
        <v>21.25</v>
      </c>
    </row>
    <row r="281" spans="1:3" x14ac:dyDescent="0.25">
      <c r="A281" s="11">
        <v>15601</v>
      </c>
      <c r="B281" s="12">
        <v>15650</v>
      </c>
      <c r="C281" s="13">
        <v>21.29</v>
      </c>
    </row>
    <row r="282" spans="1:3" x14ac:dyDescent="0.25">
      <c r="A282" s="11">
        <v>15651</v>
      </c>
      <c r="B282" s="12">
        <v>15700</v>
      </c>
      <c r="C282" s="13">
        <v>21.33</v>
      </c>
    </row>
    <row r="283" spans="1:3" x14ac:dyDescent="0.25">
      <c r="A283" s="11">
        <v>15701</v>
      </c>
      <c r="B283" s="12">
        <v>15750</v>
      </c>
      <c r="C283" s="13">
        <v>21.37</v>
      </c>
    </row>
    <row r="284" spans="1:3" x14ac:dyDescent="0.25">
      <c r="A284" s="11">
        <v>15751</v>
      </c>
      <c r="B284" s="12">
        <v>15800</v>
      </c>
      <c r="C284" s="13">
        <v>21.41</v>
      </c>
    </row>
    <row r="285" spans="1:3" x14ac:dyDescent="0.25">
      <c r="A285" s="11">
        <v>15801</v>
      </c>
      <c r="B285" s="12">
        <v>15850</v>
      </c>
      <c r="C285" s="13">
        <v>21.44</v>
      </c>
    </row>
    <row r="286" spans="1:3" x14ac:dyDescent="0.25">
      <c r="A286" s="11">
        <v>15851</v>
      </c>
      <c r="B286" s="12">
        <v>15900</v>
      </c>
      <c r="C286" s="13">
        <v>21.49</v>
      </c>
    </row>
    <row r="287" spans="1:3" x14ac:dyDescent="0.25">
      <c r="A287" s="11">
        <v>15901</v>
      </c>
      <c r="B287" s="12">
        <v>15950</v>
      </c>
      <c r="C287" s="13">
        <v>21.53</v>
      </c>
    </row>
    <row r="288" spans="1:3" x14ac:dyDescent="0.25">
      <c r="A288" s="11">
        <v>15951</v>
      </c>
      <c r="B288" s="12">
        <v>16000</v>
      </c>
      <c r="C288" s="13">
        <v>21.56</v>
      </c>
    </row>
    <row r="289" spans="1:3" x14ac:dyDescent="0.25">
      <c r="A289" s="11">
        <v>16001</v>
      </c>
      <c r="B289" s="12">
        <v>16050</v>
      </c>
      <c r="C289" s="13">
        <v>21.61</v>
      </c>
    </row>
    <row r="290" spans="1:3" x14ac:dyDescent="0.25">
      <c r="A290" s="11">
        <v>16051</v>
      </c>
      <c r="B290" s="12">
        <v>16100</v>
      </c>
      <c r="C290" s="13">
        <v>21.64</v>
      </c>
    </row>
    <row r="291" spans="1:3" x14ac:dyDescent="0.25">
      <c r="A291" s="11">
        <v>16101</v>
      </c>
      <c r="B291" s="12">
        <v>16150</v>
      </c>
      <c r="C291" s="13">
        <v>21.67</v>
      </c>
    </row>
    <row r="292" spans="1:3" x14ac:dyDescent="0.25">
      <c r="A292" s="11">
        <v>16151</v>
      </c>
      <c r="B292" s="12">
        <v>16200</v>
      </c>
      <c r="C292" s="13">
        <v>21.72</v>
      </c>
    </row>
    <row r="293" spans="1:3" x14ac:dyDescent="0.25">
      <c r="A293" s="11">
        <v>16201</v>
      </c>
      <c r="B293" s="12">
        <v>16250</v>
      </c>
      <c r="C293" s="13">
        <v>21.75</v>
      </c>
    </row>
    <row r="294" spans="1:3" x14ac:dyDescent="0.25">
      <c r="A294" s="11">
        <v>16251</v>
      </c>
      <c r="B294" s="12">
        <v>16300</v>
      </c>
      <c r="C294" s="13">
        <v>21.79</v>
      </c>
    </row>
    <row r="295" spans="1:3" x14ac:dyDescent="0.25">
      <c r="A295" s="11">
        <v>16301</v>
      </c>
      <c r="B295" s="12">
        <v>16350</v>
      </c>
      <c r="C295" s="13">
        <v>21.83</v>
      </c>
    </row>
    <row r="296" spans="1:3" x14ac:dyDescent="0.25">
      <c r="A296" s="11">
        <v>16351</v>
      </c>
      <c r="B296" s="12">
        <v>16400</v>
      </c>
      <c r="C296" s="13">
        <v>21.86</v>
      </c>
    </row>
    <row r="297" spans="1:3" x14ac:dyDescent="0.25">
      <c r="A297" s="11">
        <v>16401</v>
      </c>
      <c r="B297" s="12">
        <v>16450</v>
      </c>
      <c r="C297" s="13">
        <v>21.9</v>
      </c>
    </row>
    <row r="298" spans="1:3" x14ac:dyDescent="0.25">
      <c r="A298" s="11">
        <v>16451</v>
      </c>
      <c r="B298" s="12">
        <v>16500</v>
      </c>
      <c r="C298" s="13">
        <v>21.93</v>
      </c>
    </row>
    <row r="299" spans="1:3" x14ac:dyDescent="0.25">
      <c r="A299" s="11">
        <v>16501</v>
      </c>
      <c r="B299" s="12">
        <v>16550</v>
      </c>
      <c r="C299" s="13">
        <v>21.97</v>
      </c>
    </row>
    <row r="300" spans="1:3" x14ac:dyDescent="0.25">
      <c r="A300" s="11">
        <v>16551</v>
      </c>
      <c r="B300" s="12">
        <v>16600</v>
      </c>
      <c r="C300" s="13">
        <v>22</v>
      </c>
    </row>
    <row r="301" spans="1:3" x14ac:dyDescent="0.25">
      <c r="A301" s="11">
        <v>16601</v>
      </c>
      <c r="B301" s="12">
        <v>16650</v>
      </c>
      <c r="C301" s="13">
        <v>22.04</v>
      </c>
    </row>
    <row r="302" spans="1:3" x14ac:dyDescent="0.25">
      <c r="A302" s="11">
        <v>16651</v>
      </c>
      <c r="B302" s="12">
        <v>16700</v>
      </c>
      <c r="C302" s="13">
        <v>22.08</v>
      </c>
    </row>
    <row r="303" spans="1:3" x14ac:dyDescent="0.25">
      <c r="A303" s="11">
        <v>16701</v>
      </c>
      <c r="B303" s="12">
        <v>16750</v>
      </c>
      <c r="C303" s="13">
        <v>22.11</v>
      </c>
    </row>
    <row r="304" spans="1:3" x14ac:dyDescent="0.25">
      <c r="A304" s="11">
        <v>16751</v>
      </c>
      <c r="B304" s="12">
        <v>16800</v>
      </c>
      <c r="C304" s="13">
        <v>22.14</v>
      </c>
    </row>
    <row r="305" spans="1:3" x14ac:dyDescent="0.25">
      <c r="A305" s="11">
        <v>16801</v>
      </c>
      <c r="B305" s="12">
        <v>16850</v>
      </c>
      <c r="C305" s="13">
        <v>22.18</v>
      </c>
    </row>
    <row r="306" spans="1:3" x14ac:dyDescent="0.25">
      <c r="A306" s="11">
        <v>16851</v>
      </c>
      <c r="B306" s="12">
        <v>16900</v>
      </c>
      <c r="C306" s="13">
        <v>22.21</v>
      </c>
    </row>
    <row r="307" spans="1:3" x14ac:dyDescent="0.25">
      <c r="A307" s="11">
        <v>16901</v>
      </c>
      <c r="B307" s="12">
        <v>16950</v>
      </c>
      <c r="C307" s="13">
        <v>22.24</v>
      </c>
    </row>
    <row r="308" spans="1:3" x14ac:dyDescent="0.25">
      <c r="A308" s="11">
        <v>16951</v>
      </c>
      <c r="B308" s="12">
        <v>17000</v>
      </c>
      <c r="C308" s="13">
        <v>22.29</v>
      </c>
    </row>
    <row r="309" spans="1:3" x14ac:dyDescent="0.25">
      <c r="A309" s="11">
        <v>17001</v>
      </c>
      <c r="B309" s="12">
        <v>17050</v>
      </c>
      <c r="C309" s="13">
        <v>22.32</v>
      </c>
    </row>
    <row r="310" spans="1:3" x14ac:dyDescent="0.25">
      <c r="A310" s="11">
        <v>17051</v>
      </c>
      <c r="B310" s="12">
        <v>17100</v>
      </c>
      <c r="C310" s="13">
        <v>22.35</v>
      </c>
    </row>
    <row r="311" spans="1:3" x14ac:dyDescent="0.25">
      <c r="A311" s="11">
        <v>17101</v>
      </c>
      <c r="B311" s="12">
        <v>17150</v>
      </c>
      <c r="C311" s="13">
        <v>22.39</v>
      </c>
    </row>
    <row r="312" spans="1:3" x14ac:dyDescent="0.25">
      <c r="A312" s="11">
        <v>17151</v>
      </c>
      <c r="B312" s="12">
        <v>17200</v>
      </c>
      <c r="C312" s="13">
        <v>22.42</v>
      </c>
    </row>
    <row r="313" spans="1:3" x14ac:dyDescent="0.25">
      <c r="A313" s="11">
        <v>17201</v>
      </c>
      <c r="B313" s="12">
        <v>17250</v>
      </c>
      <c r="C313" s="13">
        <v>22.45</v>
      </c>
    </row>
    <row r="314" spans="1:3" x14ac:dyDescent="0.25">
      <c r="A314" s="11">
        <v>17251</v>
      </c>
      <c r="B314" s="12">
        <v>17300</v>
      </c>
      <c r="C314" s="13">
        <v>22.49</v>
      </c>
    </row>
    <row r="315" spans="1:3" x14ac:dyDescent="0.25">
      <c r="A315" s="11">
        <v>17301</v>
      </c>
      <c r="B315" s="12">
        <v>17350</v>
      </c>
      <c r="C315" s="13">
        <v>22.52</v>
      </c>
    </row>
    <row r="316" spans="1:3" x14ac:dyDescent="0.25">
      <c r="A316" s="11">
        <v>17351</v>
      </c>
      <c r="B316" s="12">
        <v>17400</v>
      </c>
      <c r="C316" s="13">
        <v>22.54</v>
      </c>
    </row>
    <row r="317" spans="1:3" x14ac:dyDescent="0.25">
      <c r="A317" s="11">
        <v>17401</v>
      </c>
      <c r="B317" s="12">
        <v>17450</v>
      </c>
      <c r="C317" s="13">
        <v>22.59</v>
      </c>
    </row>
    <row r="318" spans="1:3" x14ac:dyDescent="0.25">
      <c r="A318" s="11">
        <v>17451</v>
      </c>
      <c r="B318" s="12">
        <v>17500</v>
      </c>
      <c r="C318" s="13">
        <v>22.61</v>
      </c>
    </row>
    <row r="319" spans="1:3" x14ac:dyDescent="0.25">
      <c r="A319" s="11">
        <v>17501</v>
      </c>
      <c r="B319" s="12">
        <v>17550</v>
      </c>
      <c r="C319" s="13">
        <v>22.64</v>
      </c>
    </row>
    <row r="320" spans="1:3" x14ac:dyDescent="0.25">
      <c r="A320" s="11">
        <v>17551</v>
      </c>
      <c r="B320" s="12">
        <v>17600</v>
      </c>
      <c r="C320" s="13">
        <v>22.68</v>
      </c>
    </row>
    <row r="321" spans="1:3" x14ac:dyDescent="0.25">
      <c r="A321" s="11">
        <v>17601</v>
      </c>
      <c r="B321" s="12">
        <v>17650</v>
      </c>
      <c r="C321" s="13">
        <v>22.71</v>
      </c>
    </row>
    <row r="322" spans="1:3" x14ac:dyDescent="0.25">
      <c r="A322" s="11">
        <v>17651</v>
      </c>
      <c r="B322" s="12">
        <v>17700</v>
      </c>
      <c r="C322" s="13">
        <v>22.74</v>
      </c>
    </row>
    <row r="323" spans="1:3" x14ac:dyDescent="0.25">
      <c r="A323" s="11">
        <v>17701</v>
      </c>
      <c r="B323" s="12">
        <v>17750</v>
      </c>
      <c r="C323" s="13">
        <v>22.78</v>
      </c>
    </row>
    <row r="324" spans="1:3" x14ac:dyDescent="0.25">
      <c r="A324" s="11">
        <v>17751</v>
      </c>
      <c r="B324" s="12">
        <v>17800</v>
      </c>
      <c r="C324" s="13">
        <v>22.81</v>
      </c>
    </row>
    <row r="325" spans="1:3" x14ac:dyDescent="0.25">
      <c r="A325" s="11">
        <v>17801</v>
      </c>
      <c r="B325" s="12">
        <v>17850</v>
      </c>
      <c r="C325" s="13">
        <v>22.84</v>
      </c>
    </row>
    <row r="326" spans="1:3" x14ac:dyDescent="0.25">
      <c r="A326" s="11">
        <v>17851</v>
      </c>
      <c r="B326" s="12">
        <v>17900</v>
      </c>
      <c r="C326" s="13">
        <v>22.87</v>
      </c>
    </row>
    <row r="327" spans="1:3" x14ac:dyDescent="0.25">
      <c r="A327" s="11">
        <v>17901</v>
      </c>
      <c r="B327" s="12">
        <v>17950</v>
      </c>
      <c r="C327" s="13">
        <v>22.91</v>
      </c>
    </row>
    <row r="328" spans="1:3" x14ac:dyDescent="0.25">
      <c r="A328" s="11">
        <v>17951</v>
      </c>
      <c r="B328" s="12">
        <v>18000</v>
      </c>
      <c r="C328" s="13">
        <v>22.93</v>
      </c>
    </row>
    <row r="329" spans="1:3" x14ac:dyDescent="0.25">
      <c r="A329" s="11">
        <v>18001</v>
      </c>
      <c r="B329" s="12">
        <v>18050</v>
      </c>
      <c r="C329" s="13">
        <v>22.96</v>
      </c>
    </row>
    <row r="330" spans="1:3" x14ac:dyDescent="0.25">
      <c r="A330" s="11">
        <v>18051</v>
      </c>
      <c r="B330" s="12">
        <v>18100</v>
      </c>
      <c r="C330" s="13">
        <v>23</v>
      </c>
    </row>
    <row r="331" spans="1:3" x14ac:dyDescent="0.25">
      <c r="A331" s="11">
        <v>18101</v>
      </c>
      <c r="B331" s="12">
        <v>18150</v>
      </c>
      <c r="C331" s="13">
        <v>23.03</v>
      </c>
    </row>
    <row r="332" spans="1:3" x14ac:dyDescent="0.25">
      <c r="A332" s="11">
        <v>18151</v>
      </c>
      <c r="B332" s="12">
        <v>18200</v>
      </c>
      <c r="C332" s="13">
        <v>23.06</v>
      </c>
    </row>
    <row r="333" spans="1:3" x14ac:dyDescent="0.25">
      <c r="A333" s="11">
        <v>18201</v>
      </c>
      <c r="B333" s="12">
        <v>18250</v>
      </c>
      <c r="C333" s="13">
        <v>23.1</v>
      </c>
    </row>
    <row r="334" spans="1:3" x14ac:dyDescent="0.25">
      <c r="A334" s="11">
        <v>18251</v>
      </c>
      <c r="B334" s="12">
        <v>18300</v>
      </c>
      <c r="C334" s="13">
        <v>23.12</v>
      </c>
    </row>
    <row r="335" spans="1:3" x14ac:dyDescent="0.25">
      <c r="A335" s="11">
        <v>18301</v>
      </c>
      <c r="B335" s="12">
        <v>18350</v>
      </c>
      <c r="C335" s="13">
        <v>23.15</v>
      </c>
    </row>
    <row r="336" spans="1:3" x14ac:dyDescent="0.25">
      <c r="A336" s="11">
        <v>18351</v>
      </c>
      <c r="B336" s="12">
        <v>18400</v>
      </c>
      <c r="C336" s="13">
        <v>23.19</v>
      </c>
    </row>
    <row r="337" spans="1:3" x14ac:dyDescent="0.25">
      <c r="A337" s="11">
        <v>18401</v>
      </c>
      <c r="B337" s="12">
        <v>18450</v>
      </c>
      <c r="C337" s="13">
        <v>23.22</v>
      </c>
    </row>
    <row r="338" spans="1:3" x14ac:dyDescent="0.25">
      <c r="A338" s="11">
        <v>18451</v>
      </c>
      <c r="B338" s="12">
        <v>18500</v>
      </c>
      <c r="C338" s="13">
        <v>23.24</v>
      </c>
    </row>
    <row r="339" spans="1:3" x14ac:dyDescent="0.25">
      <c r="A339" s="11">
        <v>18501</v>
      </c>
      <c r="B339" s="12">
        <v>18550</v>
      </c>
      <c r="C339" s="13">
        <v>23.28</v>
      </c>
    </row>
    <row r="340" spans="1:3" x14ac:dyDescent="0.25">
      <c r="A340" s="11">
        <v>18551</v>
      </c>
      <c r="B340" s="12">
        <v>18600</v>
      </c>
      <c r="C340" s="13">
        <v>23.31</v>
      </c>
    </row>
    <row r="341" spans="1:3" x14ac:dyDescent="0.25">
      <c r="A341" s="11">
        <v>18601</v>
      </c>
      <c r="B341" s="12">
        <v>18650</v>
      </c>
      <c r="C341" s="13">
        <v>23.34</v>
      </c>
    </row>
    <row r="342" spans="1:3" x14ac:dyDescent="0.25">
      <c r="A342" s="11">
        <v>18651</v>
      </c>
      <c r="B342" s="12">
        <v>18700</v>
      </c>
      <c r="C342" s="13">
        <v>23.38</v>
      </c>
    </row>
    <row r="343" spans="1:3" x14ac:dyDescent="0.25">
      <c r="A343" s="11">
        <v>18701</v>
      </c>
      <c r="B343" s="12">
        <v>18750</v>
      </c>
      <c r="C343" s="13">
        <v>23.41</v>
      </c>
    </row>
    <row r="344" spans="1:3" x14ac:dyDescent="0.25">
      <c r="A344" s="11">
        <v>18751</v>
      </c>
      <c r="B344" s="12">
        <v>18800</v>
      </c>
      <c r="C344" s="13">
        <v>23.44</v>
      </c>
    </row>
    <row r="345" spans="1:3" x14ac:dyDescent="0.25">
      <c r="A345" s="11">
        <v>18801</v>
      </c>
      <c r="B345" s="12">
        <v>18850</v>
      </c>
      <c r="C345" s="13">
        <v>23.48</v>
      </c>
    </row>
    <row r="346" spans="1:3" x14ac:dyDescent="0.25">
      <c r="A346" s="11">
        <v>18851</v>
      </c>
      <c r="B346" s="12">
        <v>18900</v>
      </c>
      <c r="C346" s="13">
        <v>23.51</v>
      </c>
    </row>
    <row r="347" spans="1:3" x14ac:dyDescent="0.25">
      <c r="A347" s="11">
        <v>18901</v>
      </c>
      <c r="B347" s="12">
        <v>18950</v>
      </c>
      <c r="C347" s="13">
        <v>23.54</v>
      </c>
    </row>
    <row r="348" spans="1:3" x14ac:dyDescent="0.25">
      <c r="A348" s="11">
        <v>18951</v>
      </c>
      <c r="B348" s="12">
        <v>19000</v>
      </c>
      <c r="C348" s="13">
        <v>23.58</v>
      </c>
    </row>
    <row r="349" spans="1:3" x14ac:dyDescent="0.25">
      <c r="A349" s="11">
        <v>19001</v>
      </c>
      <c r="B349" s="12">
        <v>19050</v>
      </c>
      <c r="C349" s="13">
        <v>23.61</v>
      </c>
    </row>
    <row r="350" spans="1:3" x14ac:dyDescent="0.25">
      <c r="A350" s="11">
        <v>19051</v>
      </c>
      <c r="B350" s="12">
        <v>19100</v>
      </c>
      <c r="C350" s="13">
        <v>23.64</v>
      </c>
    </row>
    <row r="351" spans="1:3" x14ac:dyDescent="0.25">
      <c r="A351" s="11">
        <v>19101</v>
      </c>
      <c r="B351" s="12">
        <v>19150</v>
      </c>
      <c r="C351" s="13">
        <v>23.69</v>
      </c>
    </row>
    <row r="352" spans="1:3" x14ac:dyDescent="0.25">
      <c r="A352" s="11">
        <v>19151</v>
      </c>
      <c r="B352" s="12">
        <v>19200</v>
      </c>
      <c r="C352" s="13">
        <v>23.71</v>
      </c>
    </row>
    <row r="353" spans="1:3" x14ac:dyDescent="0.25">
      <c r="A353" s="11">
        <v>19201</v>
      </c>
      <c r="B353" s="12">
        <v>19250</v>
      </c>
      <c r="C353" s="13">
        <v>23.74</v>
      </c>
    </row>
    <row r="354" spans="1:3" x14ac:dyDescent="0.25">
      <c r="A354" s="11">
        <v>19251</v>
      </c>
      <c r="B354" s="12">
        <v>19300</v>
      </c>
      <c r="C354" s="13">
        <v>23.78</v>
      </c>
    </row>
    <row r="355" spans="1:3" x14ac:dyDescent="0.25">
      <c r="A355" s="11">
        <v>19301</v>
      </c>
      <c r="B355" s="12">
        <v>19350</v>
      </c>
      <c r="C355" s="13">
        <v>23.81</v>
      </c>
    </row>
    <row r="356" spans="1:3" x14ac:dyDescent="0.25">
      <c r="A356" s="11">
        <v>19351</v>
      </c>
      <c r="B356" s="12">
        <v>19400</v>
      </c>
      <c r="C356" s="13">
        <v>23.84</v>
      </c>
    </row>
    <row r="357" spans="1:3" x14ac:dyDescent="0.25">
      <c r="A357" s="11">
        <v>19401</v>
      </c>
      <c r="B357" s="12">
        <v>19450</v>
      </c>
      <c r="C357" s="13">
        <v>23.87</v>
      </c>
    </row>
    <row r="358" spans="1:3" x14ac:dyDescent="0.25">
      <c r="A358" s="11">
        <v>19451</v>
      </c>
      <c r="B358" s="12">
        <v>19500</v>
      </c>
      <c r="C358" s="13">
        <v>23.91</v>
      </c>
    </row>
    <row r="359" spans="1:3" x14ac:dyDescent="0.25">
      <c r="A359" s="11">
        <v>19501</v>
      </c>
      <c r="B359" s="12">
        <v>19550</v>
      </c>
      <c r="C359" s="13">
        <v>23.94</v>
      </c>
    </row>
    <row r="360" spans="1:3" x14ac:dyDescent="0.25">
      <c r="A360" s="11">
        <v>19551</v>
      </c>
      <c r="B360" s="12">
        <v>19600</v>
      </c>
      <c r="C360" s="13">
        <v>23.97</v>
      </c>
    </row>
    <row r="361" spans="1:3" x14ac:dyDescent="0.25">
      <c r="A361" s="11">
        <v>19601</v>
      </c>
      <c r="B361" s="12">
        <v>19650</v>
      </c>
      <c r="C361" s="13">
        <v>24.01</v>
      </c>
    </row>
    <row r="362" spans="1:3" x14ac:dyDescent="0.25">
      <c r="A362" s="11">
        <v>19651</v>
      </c>
      <c r="B362" s="12">
        <v>19700</v>
      </c>
      <c r="C362" s="13">
        <v>24.03</v>
      </c>
    </row>
    <row r="363" spans="1:3" x14ac:dyDescent="0.25">
      <c r="A363" s="11">
        <v>19701</v>
      </c>
      <c r="B363" s="12">
        <v>19750</v>
      </c>
      <c r="C363" s="13">
        <v>24.06</v>
      </c>
    </row>
    <row r="364" spans="1:3" x14ac:dyDescent="0.25">
      <c r="A364" s="11">
        <v>19751</v>
      </c>
      <c r="B364" s="12">
        <v>19800</v>
      </c>
      <c r="C364" s="13">
        <v>24.1</v>
      </c>
    </row>
    <row r="365" spans="1:3" x14ac:dyDescent="0.25">
      <c r="A365" s="11">
        <v>19801</v>
      </c>
      <c r="B365" s="12">
        <v>19850</v>
      </c>
      <c r="C365" s="13">
        <v>24.13</v>
      </c>
    </row>
    <row r="366" spans="1:3" x14ac:dyDescent="0.25">
      <c r="A366" s="11">
        <v>19851</v>
      </c>
      <c r="B366" s="12">
        <v>19900</v>
      </c>
      <c r="C366" s="13">
        <v>24.15</v>
      </c>
    </row>
    <row r="367" spans="1:3" x14ac:dyDescent="0.25">
      <c r="A367" s="11">
        <v>19901</v>
      </c>
      <c r="B367" s="12">
        <v>19950</v>
      </c>
      <c r="C367" s="13">
        <v>24.19</v>
      </c>
    </row>
    <row r="368" spans="1:3" x14ac:dyDescent="0.25">
      <c r="A368" s="11">
        <v>19951</v>
      </c>
      <c r="B368" s="12">
        <v>20000</v>
      </c>
      <c r="C368" s="13">
        <v>24.22</v>
      </c>
    </row>
    <row r="369" spans="1:3" x14ac:dyDescent="0.25">
      <c r="A369" s="11">
        <v>20001</v>
      </c>
      <c r="B369" s="12">
        <v>20050</v>
      </c>
      <c r="C369" s="13">
        <v>24.24</v>
      </c>
    </row>
    <row r="370" spans="1:3" x14ac:dyDescent="0.25">
      <c r="A370" s="11">
        <v>20051</v>
      </c>
      <c r="B370" s="12">
        <v>20100</v>
      </c>
      <c r="C370" s="13">
        <v>24.28</v>
      </c>
    </row>
    <row r="371" spans="1:3" x14ac:dyDescent="0.25">
      <c r="A371" s="11">
        <v>20101</v>
      </c>
      <c r="B371" s="12">
        <v>20150</v>
      </c>
      <c r="C371" s="13">
        <v>24.31</v>
      </c>
    </row>
    <row r="372" spans="1:3" x14ac:dyDescent="0.25">
      <c r="A372" s="11">
        <v>20151</v>
      </c>
      <c r="B372" s="12">
        <v>20200</v>
      </c>
      <c r="C372" s="13">
        <v>24.34</v>
      </c>
    </row>
    <row r="373" spans="1:3" x14ac:dyDescent="0.25">
      <c r="A373" s="11">
        <v>20201</v>
      </c>
      <c r="B373" s="12">
        <v>20250</v>
      </c>
      <c r="C373" s="13">
        <v>24.38</v>
      </c>
    </row>
    <row r="374" spans="1:3" x14ac:dyDescent="0.25">
      <c r="A374" s="11">
        <v>20251</v>
      </c>
      <c r="B374" s="12">
        <v>20300</v>
      </c>
      <c r="C374" s="13">
        <v>24.4</v>
      </c>
    </row>
    <row r="375" spans="1:3" x14ac:dyDescent="0.25">
      <c r="A375" s="11">
        <v>20301</v>
      </c>
      <c r="B375" s="12">
        <v>20350</v>
      </c>
      <c r="C375" s="13">
        <v>24.43</v>
      </c>
    </row>
    <row r="376" spans="1:3" x14ac:dyDescent="0.25">
      <c r="A376" s="11">
        <v>20351</v>
      </c>
      <c r="B376" s="12">
        <v>20400</v>
      </c>
      <c r="C376" s="13">
        <v>24.47</v>
      </c>
    </row>
    <row r="377" spans="1:3" x14ac:dyDescent="0.25">
      <c r="A377" s="11">
        <v>20401</v>
      </c>
      <c r="B377" s="12">
        <v>20450</v>
      </c>
      <c r="C377" s="13">
        <v>24.49</v>
      </c>
    </row>
    <row r="378" spans="1:3" x14ac:dyDescent="0.25">
      <c r="A378" s="11">
        <v>20451</v>
      </c>
      <c r="B378" s="12">
        <v>20500</v>
      </c>
      <c r="C378" s="13">
        <v>24.52</v>
      </c>
    </row>
    <row r="379" spans="1:3" x14ac:dyDescent="0.25">
      <c r="A379" s="11">
        <v>20501</v>
      </c>
      <c r="B379" s="12">
        <v>20550</v>
      </c>
      <c r="C379" s="13">
        <v>24.56</v>
      </c>
    </row>
    <row r="380" spans="1:3" x14ac:dyDescent="0.25">
      <c r="A380" s="11">
        <v>20551</v>
      </c>
      <c r="B380" s="12">
        <v>20600</v>
      </c>
      <c r="C380" s="13">
        <v>24.58</v>
      </c>
    </row>
    <row r="381" spans="1:3" x14ac:dyDescent="0.25">
      <c r="A381" s="11">
        <v>20601</v>
      </c>
      <c r="B381" s="12">
        <v>20650</v>
      </c>
      <c r="C381" s="13">
        <v>24.61</v>
      </c>
    </row>
    <row r="382" spans="1:3" x14ac:dyDescent="0.25">
      <c r="A382" s="11">
        <v>20651</v>
      </c>
      <c r="B382" s="12">
        <v>20700</v>
      </c>
      <c r="C382" s="13">
        <v>24.65</v>
      </c>
    </row>
    <row r="383" spans="1:3" x14ac:dyDescent="0.25">
      <c r="A383" s="11">
        <v>20701</v>
      </c>
      <c r="B383" s="12">
        <v>20750</v>
      </c>
      <c r="C383" s="13">
        <v>24.67</v>
      </c>
    </row>
    <row r="384" spans="1:3" x14ac:dyDescent="0.25">
      <c r="A384" s="11">
        <v>20751</v>
      </c>
      <c r="B384" s="12">
        <v>20800</v>
      </c>
      <c r="C384" s="13">
        <v>24.7</v>
      </c>
    </row>
    <row r="385" spans="1:3" x14ac:dyDescent="0.25">
      <c r="A385" s="11">
        <v>20801</v>
      </c>
      <c r="B385" s="12">
        <v>20850</v>
      </c>
      <c r="C385" s="13">
        <v>24.72</v>
      </c>
    </row>
    <row r="386" spans="1:3" x14ac:dyDescent="0.25">
      <c r="A386" s="11">
        <v>20851</v>
      </c>
      <c r="B386" s="12">
        <v>20900</v>
      </c>
      <c r="C386" s="13">
        <v>24.76</v>
      </c>
    </row>
    <row r="387" spans="1:3" x14ac:dyDescent="0.25">
      <c r="A387" s="11">
        <v>20901</v>
      </c>
      <c r="B387" s="12">
        <v>20950</v>
      </c>
      <c r="C387" s="13">
        <v>24.78</v>
      </c>
    </row>
    <row r="388" spans="1:3" x14ac:dyDescent="0.25">
      <c r="A388" s="11">
        <v>20951</v>
      </c>
      <c r="B388" s="12">
        <v>21000</v>
      </c>
      <c r="C388" s="13">
        <v>24.81</v>
      </c>
    </row>
    <row r="389" spans="1:3" x14ac:dyDescent="0.25">
      <c r="A389" s="11">
        <v>21001</v>
      </c>
      <c r="B389" s="12">
        <v>21050</v>
      </c>
      <c r="C389" s="13">
        <v>24.84</v>
      </c>
    </row>
    <row r="390" spans="1:3" x14ac:dyDescent="0.25">
      <c r="A390" s="11">
        <v>21051</v>
      </c>
      <c r="B390" s="12">
        <v>21100</v>
      </c>
      <c r="C390" s="13">
        <v>24.87</v>
      </c>
    </row>
    <row r="391" spans="1:3" x14ac:dyDescent="0.25">
      <c r="A391" s="11">
        <v>21101</v>
      </c>
      <c r="B391" s="12">
        <v>21150</v>
      </c>
      <c r="C391" s="13">
        <v>24.89</v>
      </c>
    </row>
    <row r="392" spans="1:3" x14ac:dyDescent="0.25">
      <c r="A392" s="11">
        <v>21151</v>
      </c>
      <c r="B392" s="12">
        <v>21200</v>
      </c>
      <c r="C392" s="13">
        <v>24.93</v>
      </c>
    </row>
    <row r="393" spans="1:3" x14ac:dyDescent="0.25">
      <c r="A393" s="11">
        <v>21201</v>
      </c>
      <c r="B393" s="12">
        <v>21250</v>
      </c>
      <c r="C393" s="13">
        <v>24.95</v>
      </c>
    </row>
    <row r="394" spans="1:3" x14ac:dyDescent="0.25">
      <c r="A394" s="11">
        <v>21251</v>
      </c>
      <c r="B394" s="12">
        <v>21300</v>
      </c>
      <c r="C394" s="13">
        <v>24.98</v>
      </c>
    </row>
    <row r="395" spans="1:3" x14ac:dyDescent="0.25">
      <c r="A395" s="11">
        <v>21301</v>
      </c>
      <c r="B395" s="12">
        <v>21350</v>
      </c>
      <c r="C395" s="13">
        <v>25.01</v>
      </c>
    </row>
    <row r="396" spans="1:3" x14ac:dyDescent="0.25">
      <c r="A396" s="11">
        <v>21351</v>
      </c>
      <c r="B396" s="12">
        <v>21400</v>
      </c>
      <c r="C396" s="13">
        <v>25.04</v>
      </c>
    </row>
    <row r="397" spans="1:3" x14ac:dyDescent="0.25">
      <c r="A397" s="11">
        <v>21401</v>
      </c>
      <c r="B397" s="12">
        <v>21450</v>
      </c>
      <c r="C397" s="13">
        <v>25.06</v>
      </c>
    </row>
    <row r="398" spans="1:3" x14ac:dyDescent="0.25">
      <c r="A398" s="11">
        <v>21451</v>
      </c>
      <c r="B398" s="12">
        <v>21500</v>
      </c>
      <c r="C398" s="13">
        <v>25.09</v>
      </c>
    </row>
    <row r="399" spans="1:3" x14ac:dyDescent="0.25">
      <c r="A399" s="11">
        <v>21501</v>
      </c>
      <c r="B399" s="12">
        <v>21550</v>
      </c>
      <c r="C399" s="13">
        <v>25.12</v>
      </c>
    </row>
    <row r="400" spans="1:3" x14ac:dyDescent="0.25">
      <c r="A400" s="11">
        <v>21551</v>
      </c>
      <c r="B400" s="12">
        <v>21600</v>
      </c>
      <c r="C400" s="13">
        <v>25.14</v>
      </c>
    </row>
    <row r="401" spans="1:3" x14ac:dyDescent="0.25">
      <c r="A401" s="11">
        <v>21601</v>
      </c>
      <c r="B401" s="12">
        <v>21650</v>
      </c>
      <c r="C401" s="13">
        <v>25.18</v>
      </c>
    </row>
    <row r="402" spans="1:3" x14ac:dyDescent="0.25">
      <c r="A402" s="11">
        <v>21651</v>
      </c>
      <c r="B402" s="12">
        <v>21700</v>
      </c>
      <c r="C402" s="13">
        <v>25.2</v>
      </c>
    </row>
    <row r="403" spans="1:3" x14ac:dyDescent="0.25">
      <c r="A403" s="11">
        <v>21701</v>
      </c>
      <c r="B403" s="12">
        <v>21750</v>
      </c>
      <c r="C403" s="13">
        <v>25.22</v>
      </c>
    </row>
    <row r="404" spans="1:3" x14ac:dyDescent="0.25">
      <c r="A404" s="11">
        <v>21751</v>
      </c>
      <c r="B404" s="12">
        <v>21800</v>
      </c>
      <c r="C404" s="13">
        <v>25.26</v>
      </c>
    </row>
    <row r="405" spans="1:3" x14ac:dyDescent="0.25">
      <c r="A405" s="11">
        <v>21801</v>
      </c>
      <c r="B405" s="12">
        <v>21850</v>
      </c>
      <c r="C405" s="13">
        <v>25.28</v>
      </c>
    </row>
    <row r="406" spans="1:3" x14ac:dyDescent="0.25">
      <c r="A406" s="11">
        <v>21851</v>
      </c>
      <c r="B406" s="12">
        <v>21900</v>
      </c>
      <c r="C406" s="13">
        <v>25.3</v>
      </c>
    </row>
    <row r="407" spans="1:3" x14ac:dyDescent="0.25">
      <c r="A407" s="11">
        <v>21901</v>
      </c>
      <c r="B407" s="12">
        <v>21950</v>
      </c>
      <c r="C407" s="13">
        <v>25.34</v>
      </c>
    </row>
    <row r="408" spans="1:3" x14ac:dyDescent="0.25">
      <c r="A408" s="11">
        <v>21951</v>
      </c>
      <c r="B408" s="12">
        <v>22000</v>
      </c>
      <c r="C408" s="13">
        <v>25.36</v>
      </c>
    </row>
    <row r="409" spans="1:3" x14ac:dyDescent="0.25">
      <c r="A409" s="11">
        <v>22001</v>
      </c>
      <c r="B409" s="12">
        <v>22050</v>
      </c>
      <c r="C409" s="13">
        <v>25.38</v>
      </c>
    </row>
    <row r="410" spans="1:3" x14ac:dyDescent="0.25">
      <c r="A410" s="11">
        <v>22051</v>
      </c>
      <c r="B410" s="12">
        <v>22100</v>
      </c>
      <c r="C410" s="13">
        <v>25.41</v>
      </c>
    </row>
    <row r="411" spans="1:3" x14ac:dyDescent="0.25">
      <c r="A411" s="11">
        <v>22101</v>
      </c>
      <c r="B411" s="12">
        <v>22150</v>
      </c>
      <c r="C411" s="13">
        <v>25.44</v>
      </c>
    </row>
    <row r="412" spans="1:3" x14ac:dyDescent="0.25">
      <c r="A412" s="11">
        <v>22151</v>
      </c>
      <c r="B412" s="12">
        <v>22200</v>
      </c>
      <c r="C412" s="13">
        <v>25.46</v>
      </c>
    </row>
    <row r="413" spans="1:3" x14ac:dyDescent="0.25">
      <c r="A413" s="11">
        <v>22201</v>
      </c>
      <c r="B413" s="12">
        <v>22250</v>
      </c>
      <c r="C413" s="13">
        <v>25.48</v>
      </c>
    </row>
    <row r="414" spans="1:3" x14ac:dyDescent="0.25">
      <c r="A414" s="11">
        <v>22251</v>
      </c>
      <c r="B414" s="12">
        <v>22300</v>
      </c>
      <c r="C414" s="13">
        <v>25.51</v>
      </c>
    </row>
    <row r="415" spans="1:3" x14ac:dyDescent="0.25">
      <c r="A415" s="11">
        <v>22301</v>
      </c>
      <c r="B415" s="12">
        <v>22350</v>
      </c>
      <c r="C415" s="13">
        <v>25.53</v>
      </c>
    </row>
    <row r="416" spans="1:3" x14ac:dyDescent="0.25">
      <c r="A416" s="11">
        <v>22351</v>
      </c>
      <c r="B416" s="12">
        <v>22400</v>
      </c>
      <c r="C416" s="13">
        <v>25.56</v>
      </c>
    </row>
    <row r="417" spans="1:3" x14ac:dyDescent="0.25">
      <c r="A417" s="11">
        <v>22401</v>
      </c>
      <c r="B417" s="12">
        <v>22450</v>
      </c>
      <c r="C417" s="13">
        <v>25.59</v>
      </c>
    </row>
    <row r="418" spans="1:3" x14ac:dyDescent="0.25">
      <c r="A418" s="11">
        <v>22451</v>
      </c>
      <c r="B418" s="12">
        <v>22500</v>
      </c>
      <c r="C418" s="13">
        <v>25.61</v>
      </c>
    </row>
    <row r="419" spans="1:3" x14ac:dyDescent="0.25">
      <c r="A419" s="11">
        <v>22501</v>
      </c>
      <c r="B419" s="12">
        <v>22550</v>
      </c>
      <c r="C419" s="13">
        <v>25.63</v>
      </c>
    </row>
    <row r="420" spans="1:3" x14ac:dyDescent="0.25">
      <c r="A420" s="11">
        <v>22551</v>
      </c>
      <c r="B420" s="12">
        <v>22600</v>
      </c>
      <c r="C420" s="13">
        <v>25.66</v>
      </c>
    </row>
    <row r="421" spans="1:3" x14ac:dyDescent="0.25">
      <c r="A421" s="11">
        <v>22601</v>
      </c>
      <c r="B421" s="12">
        <v>22650</v>
      </c>
      <c r="C421" s="13">
        <v>25.68</v>
      </c>
    </row>
    <row r="422" spans="1:3" x14ac:dyDescent="0.25">
      <c r="A422" s="11">
        <v>22651</v>
      </c>
      <c r="B422" s="12">
        <v>22700</v>
      </c>
      <c r="C422" s="13">
        <v>25.7</v>
      </c>
    </row>
    <row r="423" spans="1:3" x14ac:dyDescent="0.25">
      <c r="A423" s="11">
        <v>22701</v>
      </c>
      <c r="B423" s="12">
        <v>22750</v>
      </c>
      <c r="C423" s="13">
        <v>25.74</v>
      </c>
    </row>
    <row r="424" spans="1:3" x14ac:dyDescent="0.25">
      <c r="A424" s="11">
        <v>22751</v>
      </c>
      <c r="B424" s="12">
        <v>22800</v>
      </c>
      <c r="C424" s="13">
        <v>25.76</v>
      </c>
    </row>
    <row r="425" spans="1:3" x14ac:dyDescent="0.25">
      <c r="A425" s="11">
        <v>22801</v>
      </c>
      <c r="B425" s="12">
        <v>22850</v>
      </c>
      <c r="C425" s="13">
        <v>25.78</v>
      </c>
    </row>
    <row r="426" spans="1:3" x14ac:dyDescent="0.25">
      <c r="A426" s="11">
        <v>22851</v>
      </c>
      <c r="B426" s="12">
        <v>22900</v>
      </c>
      <c r="C426" s="13">
        <v>25.81</v>
      </c>
    </row>
    <row r="427" spans="1:3" x14ac:dyDescent="0.25">
      <c r="A427" s="11">
        <v>22901</v>
      </c>
      <c r="B427" s="12">
        <v>22950</v>
      </c>
      <c r="C427" s="13">
        <v>25.83</v>
      </c>
    </row>
    <row r="428" spans="1:3" x14ac:dyDescent="0.25">
      <c r="A428" s="11">
        <v>22951</v>
      </c>
      <c r="B428" s="12">
        <v>23000</v>
      </c>
      <c r="C428" s="13">
        <v>25.85</v>
      </c>
    </row>
    <row r="429" spans="1:3" x14ac:dyDescent="0.25">
      <c r="A429" s="11">
        <v>23001</v>
      </c>
      <c r="B429" s="12">
        <v>23050</v>
      </c>
      <c r="C429" s="13">
        <v>25.88</v>
      </c>
    </row>
    <row r="430" spans="1:3" x14ac:dyDescent="0.25">
      <c r="A430" s="11">
        <v>23051</v>
      </c>
      <c r="B430" s="12">
        <v>23100</v>
      </c>
      <c r="C430" s="13">
        <v>25.9</v>
      </c>
    </row>
    <row r="431" spans="1:3" x14ac:dyDescent="0.25">
      <c r="A431" s="11">
        <v>23101</v>
      </c>
      <c r="B431" s="12">
        <v>23150</v>
      </c>
      <c r="C431" s="13">
        <v>25.92</v>
      </c>
    </row>
    <row r="432" spans="1:3" x14ac:dyDescent="0.25">
      <c r="A432" s="11">
        <v>23151</v>
      </c>
      <c r="B432" s="12">
        <v>23200</v>
      </c>
      <c r="C432" s="13">
        <v>25.95</v>
      </c>
    </row>
    <row r="433" spans="1:3" x14ac:dyDescent="0.25">
      <c r="A433" s="11">
        <v>23201</v>
      </c>
      <c r="B433" s="12">
        <v>23250</v>
      </c>
      <c r="C433" s="13">
        <v>25.97</v>
      </c>
    </row>
    <row r="434" spans="1:3" x14ac:dyDescent="0.25">
      <c r="A434" s="11">
        <v>23251</v>
      </c>
      <c r="B434" s="12">
        <v>23300</v>
      </c>
      <c r="C434" s="13">
        <v>25.99</v>
      </c>
    </row>
    <row r="435" spans="1:3" x14ac:dyDescent="0.25">
      <c r="A435" s="11">
        <v>23301</v>
      </c>
      <c r="B435" s="12">
        <v>23350</v>
      </c>
      <c r="C435" s="13">
        <v>26.02</v>
      </c>
    </row>
    <row r="436" spans="1:3" x14ac:dyDescent="0.25">
      <c r="A436" s="11">
        <v>23351</v>
      </c>
      <c r="B436" s="12">
        <v>23400</v>
      </c>
      <c r="C436" s="13">
        <v>26.04</v>
      </c>
    </row>
    <row r="437" spans="1:3" x14ac:dyDescent="0.25">
      <c r="A437" s="11">
        <v>23401</v>
      </c>
      <c r="B437" s="12">
        <v>23450</v>
      </c>
      <c r="C437" s="13">
        <v>26.06</v>
      </c>
    </row>
    <row r="438" spans="1:3" x14ac:dyDescent="0.25">
      <c r="A438" s="11">
        <v>23451</v>
      </c>
      <c r="B438" s="12">
        <v>23500</v>
      </c>
      <c r="C438" s="13">
        <v>26.09</v>
      </c>
    </row>
    <row r="439" spans="1:3" x14ac:dyDescent="0.25">
      <c r="A439" s="11">
        <v>23501</v>
      </c>
      <c r="B439" s="12">
        <v>23550</v>
      </c>
      <c r="C439" s="13">
        <v>26.11</v>
      </c>
    </row>
    <row r="440" spans="1:3" x14ac:dyDescent="0.25">
      <c r="A440" s="11">
        <v>23551</v>
      </c>
      <c r="B440" s="12">
        <v>23600</v>
      </c>
      <c r="C440" s="13">
        <v>26.13</v>
      </c>
    </row>
    <row r="441" spans="1:3" x14ac:dyDescent="0.25">
      <c r="A441" s="11">
        <v>23601</v>
      </c>
      <c r="B441" s="12">
        <v>23650</v>
      </c>
      <c r="C441" s="13">
        <v>26.16</v>
      </c>
    </row>
    <row r="442" spans="1:3" x14ac:dyDescent="0.25">
      <c r="A442" s="11">
        <v>23651</v>
      </c>
      <c r="B442" s="12">
        <v>23700</v>
      </c>
      <c r="C442" s="13">
        <v>26.18</v>
      </c>
    </row>
    <row r="443" spans="1:3" x14ac:dyDescent="0.25">
      <c r="A443" s="11">
        <v>23701</v>
      </c>
      <c r="B443" s="12">
        <v>23750</v>
      </c>
      <c r="C443" s="13">
        <v>26.2</v>
      </c>
    </row>
    <row r="444" spans="1:3" x14ac:dyDescent="0.25">
      <c r="A444" s="11">
        <v>23751</v>
      </c>
      <c r="B444" s="12">
        <v>23800</v>
      </c>
      <c r="C444" s="13">
        <v>26.22</v>
      </c>
    </row>
    <row r="445" spans="1:3" x14ac:dyDescent="0.25">
      <c r="A445" s="11">
        <v>23801</v>
      </c>
      <c r="B445" s="12">
        <v>23850</v>
      </c>
      <c r="C445" s="13">
        <v>26.25</v>
      </c>
    </row>
    <row r="446" spans="1:3" x14ac:dyDescent="0.25">
      <c r="A446" s="11">
        <v>23851</v>
      </c>
      <c r="B446" s="12">
        <v>23900</v>
      </c>
      <c r="C446" s="13">
        <v>26.27</v>
      </c>
    </row>
    <row r="447" spans="1:3" x14ac:dyDescent="0.25">
      <c r="A447" s="11">
        <v>23901</v>
      </c>
      <c r="B447" s="12">
        <v>23950</v>
      </c>
      <c r="C447" s="13">
        <v>26.29</v>
      </c>
    </row>
    <row r="448" spans="1:3" x14ac:dyDescent="0.25">
      <c r="A448" s="11">
        <v>23951</v>
      </c>
      <c r="B448" s="12">
        <v>24000</v>
      </c>
      <c r="C448" s="13">
        <v>26.32</v>
      </c>
    </row>
    <row r="449" spans="1:3" x14ac:dyDescent="0.25">
      <c r="A449" s="11">
        <v>24001</v>
      </c>
      <c r="B449" s="12">
        <v>24050</v>
      </c>
      <c r="C449" s="13">
        <v>26.34</v>
      </c>
    </row>
    <row r="450" spans="1:3" x14ac:dyDescent="0.25">
      <c r="A450" s="11">
        <v>24051</v>
      </c>
      <c r="B450" s="12">
        <v>24100</v>
      </c>
      <c r="C450" s="13">
        <v>26.36</v>
      </c>
    </row>
    <row r="451" spans="1:3" x14ac:dyDescent="0.25">
      <c r="A451" s="11">
        <v>24101</v>
      </c>
      <c r="B451" s="12">
        <v>24150</v>
      </c>
      <c r="C451" s="13">
        <v>26.39</v>
      </c>
    </row>
    <row r="452" spans="1:3" x14ac:dyDescent="0.25">
      <c r="A452" s="11">
        <v>24151</v>
      </c>
      <c r="B452" s="12">
        <v>24200</v>
      </c>
      <c r="C452" s="13">
        <v>26.41</v>
      </c>
    </row>
    <row r="453" spans="1:3" x14ac:dyDescent="0.25">
      <c r="A453" s="11">
        <v>24201</v>
      </c>
      <c r="B453" s="12">
        <v>24250</v>
      </c>
      <c r="C453" s="13">
        <v>26.43</v>
      </c>
    </row>
    <row r="454" spans="1:3" x14ac:dyDescent="0.25">
      <c r="A454" s="11">
        <v>24251</v>
      </c>
      <c r="B454" s="12">
        <v>24300</v>
      </c>
      <c r="C454" s="13">
        <v>26.46</v>
      </c>
    </row>
    <row r="455" spans="1:3" x14ac:dyDescent="0.25">
      <c r="A455" s="11">
        <v>24301</v>
      </c>
      <c r="B455" s="12">
        <v>24350</v>
      </c>
      <c r="C455" s="13">
        <v>26.47</v>
      </c>
    </row>
    <row r="456" spans="1:3" x14ac:dyDescent="0.25">
      <c r="A456" s="11">
        <v>24351</v>
      </c>
      <c r="B456" s="12">
        <v>24400</v>
      </c>
      <c r="C456" s="13">
        <v>26.49</v>
      </c>
    </row>
    <row r="457" spans="1:3" x14ac:dyDescent="0.25">
      <c r="A457" s="11">
        <v>24401</v>
      </c>
      <c r="B457" s="12">
        <v>24450</v>
      </c>
      <c r="C457" s="13">
        <v>26.52</v>
      </c>
    </row>
    <row r="458" spans="1:3" x14ac:dyDescent="0.25">
      <c r="A458" s="11">
        <v>24451</v>
      </c>
      <c r="B458" s="12">
        <v>24500</v>
      </c>
      <c r="C458" s="13">
        <v>26.54</v>
      </c>
    </row>
    <row r="459" spans="1:3" x14ac:dyDescent="0.25">
      <c r="A459" s="11">
        <v>24501</v>
      </c>
      <c r="B459" s="12">
        <v>24550</v>
      </c>
      <c r="C459" s="13">
        <v>26.56</v>
      </c>
    </row>
    <row r="460" spans="1:3" x14ac:dyDescent="0.25">
      <c r="A460" s="11">
        <v>24551</v>
      </c>
      <c r="B460" s="12">
        <v>24600</v>
      </c>
      <c r="C460" s="13">
        <v>26.59</v>
      </c>
    </row>
    <row r="461" spans="1:3" x14ac:dyDescent="0.25">
      <c r="A461" s="11">
        <v>24601</v>
      </c>
      <c r="B461" s="12">
        <v>24650</v>
      </c>
      <c r="C461" s="13">
        <v>26.61</v>
      </c>
    </row>
    <row r="462" spans="1:3" x14ac:dyDescent="0.25">
      <c r="A462" s="11">
        <v>24651</v>
      </c>
      <c r="B462" s="12">
        <v>24700</v>
      </c>
      <c r="C462" s="13">
        <v>26.63</v>
      </c>
    </row>
    <row r="463" spans="1:3" x14ac:dyDescent="0.25">
      <c r="A463" s="11">
        <v>24701</v>
      </c>
      <c r="B463" s="12">
        <v>24750</v>
      </c>
      <c r="C463" s="13">
        <v>26.65</v>
      </c>
    </row>
    <row r="464" spans="1:3" x14ac:dyDescent="0.25">
      <c r="A464" s="11">
        <v>24751</v>
      </c>
      <c r="B464" s="12">
        <v>24800</v>
      </c>
      <c r="C464" s="13">
        <v>26.67</v>
      </c>
    </row>
    <row r="465" spans="1:3" x14ac:dyDescent="0.25">
      <c r="A465" s="11">
        <v>24801</v>
      </c>
      <c r="B465" s="12">
        <v>24850</v>
      </c>
      <c r="C465" s="13">
        <v>26.69</v>
      </c>
    </row>
    <row r="466" spans="1:3" x14ac:dyDescent="0.25">
      <c r="A466" s="11">
        <v>24851</v>
      </c>
      <c r="B466" s="12">
        <v>24900</v>
      </c>
      <c r="C466" s="13">
        <v>26.72</v>
      </c>
    </row>
    <row r="467" spans="1:3" x14ac:dyDescent="0.25">
      <c r="A467" s="11">
        <v>24901</v>
      </c>
      <c r="B467" s="12">
        <v>24950</v>
      </c>
      <c r="C467" s="13">
        <v>26.74</v>
      </c>
    </row>
    <row r="468" spans="1:3" x14ac:dyDescent="0.25">
      <c r="A468" s="11">
        <v>24951</v>
      </c>
      <c r="B468" s="12">
        <v>25000</v>
      </c>
      <c r="C468" s="13">
        <v>26.76</v>
      </c>
    </row>
    <row r="469" spans="1:3" x14ac:dyDescent="0.25">
      <c r="A469" s="11">
        <v>25001</v>
      </c>
      <c r="B469" s="12">
        <v>26000</v>
      </c>
      <c r="C469" s="13">
        <v>26.78</v>
      </c>
    </row>
    <row r="470" spans="1:3" x14ac:dyDescent="0.25">
      <c r="A470" s="11">
        <v>26001</v>
      </c>
      <c r="B470" s="12">
        <v>27000</v>
      </c>
      <c r="C470" s="13">
        <v>27.19</v>
      </c>
    </row>
    <row r="471" spans="1:3" x14ac:dyDescent="0.25">
      <c r="A471" s="11">
        <v>27001</v>
      </c>
      <c r="B471" s="12">
        <v>28000</v>
      </c>
      <c r="C471" s="13">
        <v>27.56</v>
      </c>
    </row>
    <row r="472" spans="1:3" x14ac:dyDescent="0.25">
      <c r="A472" s="11">
        <v>28001</v>
      </c>
      <c r="B472" s="12">
        <v>29000</v>
      </c>
      <c r="C472" s="13">
        <v>27.91</v>
      </c>
    </row>
    <row r="473" spans="1:3" x14ac:dyDescent="0.25">
      <c r="A473" s="11">
        <v>29001</v>
      </c>
      <c r="B473" s="12">
        <v>30000</v>
      </c>
      <c r="C473" s="13">
        <v>28.23</v>
      </c>
    </row>
    <row r="474" spans="1:3" x14ac:dyDescent="0.25">
      <c r="A474" s="11">
        <v>30001</v>
      </c>
      <c r="B474" s="12">
        <v>31000</v>
      </c>
      <c r="C474" s="13">
        <v>28.54</v>
      </c>
    </row>
    <row r="475" spans="1:3" x14ac:dyDescent="0.25">
      <c r="A475" s="11">
        <v>31001</v>
      </c>
      <c r="B475" s="12">
        <v>32000</v>
      </c>
      <c r="C475" s="13">
        <v>28.82</v>
      </c>
    </row>
    <row r="476" spans="1:3" x14ac:dyDescent="0.25">
      <c r="A476" s="11">
        <v>32001</v>
      </c>
      <c r="B476" s="12">
        <v>33000</v>
      </c>
      <c r="C476" s="13">
        <v>29.1</v>
      </c>
    </row>
    <row r="477" spans="1:3" x14ac:dyDescent="0.25">
      <c r="A477" s="11">
        <v>33001</v>
      </c>
      <c r="B477" s="12">
        <v>34000</v>
      </c>
      <c r="C477" s="13">
        <v>29.36</v>
      </c>
    </row>
    <row r="478" spans="1:3" x14ac:dyDescent="0.25">
      <c r="A478" s="11">
        <v>34001</v>
      </c>
      <c r="B478" s="12">
        <v>35000</v>
      </c>
      <c r="C478" s="13">
        <v>29.6</v>
      </c>
    </row>
    <row r="479" spans="1:3" x14ac:dyDescent="0.25">
      <c r="A479" s="11">
        <v>35001</v>
      </c>
      <c r="B479" s="12">
        <v>36000</v>
      </c>
      <c r="C479" s="13">
        <v>29.84</v>
      </c>
    </row>
    <row r="480" spans="1:3" x14ac:dyDescent="0.25">
      <c r="A480" s="11">
        <v>36001</v>
      </c>
      <c r="B480" s="12">
        <v>37000</v>
      </c>
      <c r="C480" s="13">
        <v>30.06</v>
      </c>
    </row>
    <row r="481" spans="1:3" x14ac:dyDescent="0.25">
      <c r="A481" s="11">
        <v>37001</v>
      </c>
      <c r="B481" s="12">
        <v>38000</v>
      </c>
      <c r="C481" s="13">
        <v>30.27</v>
      </c>
    </row>
    <row r="482" spans="1:3" x14ac:dyDescent="0.25">
      <c r="A482" s="11">
        <v>38001</v>
      </c>
      <c r="B482" s="12">
        <v>39000</v>
      </c>
      <c r="C482" s="13">
        <v>30.46</v>
      </c>
    </row>
    <row r="483" spans="1:3" x14ac:dyDescent="0.25">
      <c r="A483" s="11">
        <v>39001</v>
      </c>
      <c r="B483" s="12">
        <v>40000</v>
      </c>
      <c r="C483" s="13">
        <v>30.65</v>
      </c>
    </row>
    <row r="484" spans="1:3" x14ac:dyDescent="0.25">
      <c r="A484" s="11">
        <v>40001</v>
      </c>
      <c r="B484" s="12">
        <v>41000</v>
      </c>
      <c r="C484" s="13">
        <v>30.83</v>
      </c>
    </row>
    <row r="485" spans="1:3" x14ac:dyDescent="0.25">
      <c r="A485" s="11">
        <v>41001</v>
      </c>
      <c r="B485" s="12">
        <v>42000</v>
      </c>
      <c r="C485" s="13">
        <v>31</v>
      </c>
    </row>
    <row r="486" spans="1:3" x14ac:dyDescent="0.25">
      <c r="A486" s="11">
        <v>42001</v>
      </c>
      <c r="B486" s="12">
        <v>43000</v>
      </c>
      <c r="C486" s="13">
        <v>31.16</v>
      </c>
    </row>
    <row r="487" spans="1:3" x14ac:dyDescent="0.25">
      <c r="A487" s="11">
        <v>43001</v>
      </c>
      <c r="B487" s="12">
        <v>44000</v>
      </c>
      <c r="C487" s="13">
        <v>31.31</v>
      </c>
    </row>
    <row r="488" spans="1:3" x14ac:dyDescent="0.25">
      <c r="A488" s="11">
        <v>44001</v>
      </c>
      <c r="B488" s="12">
        <v>45000</v>
      </c>
      <c r="C488" s="13">
        <v>31.46</v>
      </c>
    </row>
    <row r="489" spans="1:3" x14ac:dyDescent="0.25">
      <c r="A489" s="11">
        <v>45001</v>
      </c>
      <c r="B489" s="12">
        <v>46000</v>
      </c>
      <c r="C489" s="13">
        <v>31.6</v>
      </c>
    </row>
    <row r="490" spans="1:3" x14ac:dyDescent="0.25">
      <c r="A490" s="11">
        <v>46001</v>
      </c>
      <c r="B490" s="12">
        <v>47000</v>
      </c>
      <c r="C490" s="13">
        <v>31.73</v>
      </c>
    </row>
    <row r="491" spans="1:3" x14ac:dyDescent="0.25">
      <c r="A491" s="11">
        <v>47001</v>
      </c>
      <c r="B491" s="12">
        <v>48000</v>
      </c>
      <c r="C491" s="13">
        <v>31.87</v>
      </c>
    </row>
    <row r="492" spans="1:3" x14ac:dyDescent="0.25">
      <c r="A492" s="11">
        <v>48001</v>
      </c>
      <c r="B492" s="12">
        <v>49000</v>
      </c>
      <c r="C492" s="13">
        <v>32</v>
      </c>
    </row>
    <row r="493" spans="1:3" x14ac:dyDescent="0.25">
      <c r="A493" s="11">
        <v>49001</v>
      </c>
      <c r="B493" s="12">
        <v>50000</v>
      </c>
      <c r="C493" s="13">
        <v>32.130000000000003</v>
      </c>
    </row>
    <row r="494" spans="1:3" x14ac:dyDescent="0.25">
      <c r="A494" s="11">
        <v>50001</v>
      </c>
      <c r="B494" s="12">
        <v>51000</v>
      </c>
      <c r="C494" s="13">
        <v>32.25</v>
      </c>
    </row>
    <row r="495" spans="1:3" x14ac:dyDescent="0.25">
      <c r="A495" s="11">
        <v>51001</v>
      </c>
      <c r="B495" s="12">
        <v>52000</v>
      </c>
      <c r="C495" s="13">
        <v>32.36</v>
      </c>
    </row>
    <row r="496" spans="1:3" x14ac:dyDescent="0.25">
      <c r="A496" s="11">
        <v>52001</v>
      </c>
      <c r="B496" s="12">
        <v>53000</v>
      </c>
      <c r="C496" s="13">
        <v>32.47</v>
      </c>
    </row>
    <row r="497" spans="1:3" x14ac:dyDescent="0.25">
      <c r="A497" s="11">
        <v>53001</v>
      </c>
      <c r="B497" s="12">
        <v>54000</v>
      </c>
      <c r="C497" s="13">
        <v>32.58</v>
      </c>
    </row>
    <row r="498" spans="1:3" x14ac:dyDescent="0.25">
      <c r="A498" s="11">
        <v>54001</v>
      </c>
      <c r="B498" s="12">
        <v>55000</v>
      </c>
      <c r="C498" s="13">
        <v>32.69</v>
      </c>
    </row>
    <row r="499" spans="1:3" x14ac:dyDescent="0.25">
      <c r="A499" s="11">
        <v>55001</v>
      </c>
      <c r="B499" s="12">
        <v>56000</v>
      </c>
      <c r="C499" s="13">
        <v>32.79</v>
      </c>
    </row>
    <row r="500" spans="1:3" x14ac:dyDescent="0.25">
      <c r="A500" s="11">
        <v>56001</v>
      </c>
      <c r="B500" s="12">
        <v>57000</v>
      </c>
      <c r="C500" s="13">
        <v>32.880000000000003</v>
      </c>
    </row>
    <row r="501" spans="1:3" x14ac:dyDescent="0.25">
      <c r="A501" s="11">
        <v>57001</v>
      </c>
      <c r="B501" s="12">
        <v>58000</v>
      </c>
      <c r="C501" s="13">
        <v>32.979999999999997</v>
      </c>
    </row>
    <row r="502" spans="1:3" x14ac:dyDescent="0.25">
      <c r="A502" s="11">
        <v>58001</v>
      </c>
      <c r="B502" s="12">
        <v>59000</v>
      </c>
      <c r="C502" s="13">
        <v>33.06</v>
      </c>
    </row>
    <row r="503" spans="1:3" x14ac:dyDescent="0.25">
      <c r="A503" s="11">
        <v>59001</v>
      </c>
      <c r="B503" s="12">
        <v>60000</v>
      </c>
      <c r="C503" s="13">
        <v>33.15</v>
      </c>
    </row>
    <row r="504" spans="1:3" x14ac:dyDescent="0.25">
      <c r="A504" s="11">
        <v>60001</v>
      </c>
      <c r="B504" s="12">
        <v>61000</v>
      </c>
      <c r="C504" s="13">
        <v>33.24</v>
      </c>
    </row>
    <row r="505" spans="1:3" x14ac:dyDescent="0.25">
      <c r="A505" s="11">
        <v>61001</v>
      </c>
      <c r="B505" s="12">
        <v>62000</v>
      </c>
      <c r="C505" s="13">
        <v>33.31</v>
      </c>
    </row>
    <row r="506" spans="1:3" x14ac:dyDescent="0.25">
      <c r="A506" s="11">
        <v>62001</v>
      </c>
      <c r="B506" s="12">
        <v>63000</v>
      </c>
      <c r="C506" s="13">
        <v>33.39</v>
      </c>
    </row>
    <row r="507" spans="1:3" x14ac:dyDescent="0.25">
      <c r="A507" s="11">
        <v>63001</v>
      </c>
      <c r="B507" s="12">
        <v>64000</v>
      </c>
      <c r="C507" s="13">
        <v>33.47</v>
      </c>
    </row>
    <row r="508" spans="1:3" x14ac:dyDescent="0.25">
      <c r="A508" s="11">
        <v>64001</v>
      </c>
      <c r="B508" s="12">
        <v>65000</v>
      </c>
      <c r="C508" s="13">
        <v>33.54</v>
      </c>
    </row>
    <row r="509" spans="1:3" x14ac:dyDescent="0.25">
      <c r="A509" s="11">
        <v>65001</v>
      </c>
      <c r="B509" s="12">
        <v>66000</v>
      </c>
      <c r="C509" s="13">
        <v>33.61</v>
      </c>
    </row>
    <row r="510" spans="1:3" x14ac:dyDescent="0.25">
      <c r="A510" s="11">
        <v>66001</v>
      </c>
      <c r="B510" s="12">
        <v>67000</v>
      </c>
      <c r="C510" s="13">
        <v>33.69</v>
      </c>
    </row>
    <row r="511" spans="1:3" x14ac:dyDescent="0.25">
      <c r="A511" s="11">
        <v>67001</v>
      </c>
      <c r="B511" s="12">
        <v>68000</v>
      </c>
      <c r="C511" s="13">
        <v>33.75</v>
      </c>
    </row>
    <row r="512" spans="1:3" x14ac:dyDescent="0.25">
      <c r="A512" s="11">
        <v>68001</v>
      </c>
      <c r="B512" s="12">
        <v>69000</v>
      </c>
      <c r="C512" s="13">
        <v>33.81</v>
      </c>
    </row>
    <row r="513" spans="1:3" x14ac:dyDescent="0.25">
      <c r="A513" s="11">
        <v>69001</v>
      </c>
      <c r="B513" s="12">
        <v>70000</v>
      </c>
      <c r="C513" s="13">
        <v>33.880000000000003</v>
      </c>
    </row>
    <row r="514" spans="1:3" x14ac:dyDescent="0.25">
      <c r="A514" s="11">
        <v>70001</v>
      </c>
      <c r="B514" s="12">
        <v>71000</v>
      </c>
      <c r="C514" s="13">
        <v>33.94</v>
      </c>
    </row>
    <row r="515" spans="1:3" x14ac:dyDescent="0.25">
      <c r="A515" s="11">
        <v>71001</v>
      </c>
      <c r="B515" s="12">
        <v>72000</v>
      </c>
      <c r="C515" s="13">
        <v>34</v>
      </c>
    </row>
    <row r="516" spans="1:3" x14ac:dyDescent="0.25">
      <c r="A516" s="11">
        <v>72001</v>
      </c>
      <c r="B516" s="12">
        <v>73000</v>
      </c>
      <c r="C516" s="13">
        <v>34.06</v>
      </c>
    </row>
    <row r="517" spans="1:3" x14ac:dyDescent="0.25">
      <c r="A517" s="11">
        <v>73001</v>
      </c>
      <c r="B517" s="12">
        <v>74000</v>
      </c>
      <c r="C517" s="13">
        <v>34.119999999999997</v>
      </c>
    </row>
    <row r="518" spans="1:3" x14ac:dyDescent="0.25">
      <c r="A518" s="11">
        <v>74001</v>
      </c>
      <c r="B518" s="12">
        <v>75000</v>
      </c>
      <c r="C518" s="13">
        <v>34.17</v>
      </c>
    </row>
    <row r="519" spans="1:3" x14ac:dyDescent="0.25">
      <c r="A519" s="11">
        <v>75001</v>
      </c>
      <c r="B519" s="12">
        <v>76000</v>
      </c>
      <c r="C519" s="13">
        <v>34.22</v>
      </c>
    </row>
    <row r="520" spans="1:3" x14ac:dyDescent="0.25">
      <c r="A520" s="11">
        <v>76001</v>
      </c>
      <c r="B520" s="12">
        <v>77000</v>
      </c>
      <c r="C520" s="13">
        <v>34.270000000000003</v>
      </c>
    </row>
    <row r="521" spans="1:3" x14ac:dyDescent="0.25">
      <c r="A521" s="11">
        <v>77001</v>
      </c>
      <c r="B521" s="12">
        <v>78000</v>
      </c>
      <c r="C521" s="13">
        <v>34.299999999999997</v>
      </c>
    </row>
    <row r="522" spans="1:3" x14ac:dyDescent="0.25">
      <c r="A522" s="11">
        <v>78001</v>
      </c>
      <c r="B522" s="12">
        <v>79000</v>
      </c>
      <c r="C522" s="13">
        <v>34.33</v>
      </c>
    </row>
    <row r="523" spans="1:3" x14ac:dyDescent="0.25">
      <c r="A523" s="11">
        <v>79001</v>
      </c>
      <c r="B523" s="12">
        <v>80000</v>
      </c>
      <c r="C523" s="13">
        <v>34.36</v>
      </c>
    </row>
    <row r="524" spans="1:3" x14ac:dyDescent="0.25">
      <c r="A524" s="11">
        <v>80001</v>
      </c>
      <c r="B524" s="12">
        <v>81000</v>
      </c>
      <c r="C524" s="13">
        <v>34.39</v>
      </c>
    </row>
    <row r="525" spans="1:3" x14ac:dyDescent="0.25">
      <c r="A525" s="11">
        <v>81001</v>
      </c>
      <c r="B525" s="12">
        <v>82000</v>
      </c>
      <c r="C525" s="13">
        <v>34.42</v>
      </c>
    </row>
    <row r="526" spans="1:3" x14ac:dyDescent="0.25">
      <c r="A526" s="11">
        <v>82001</v>
      </c>
      <c r="B526" s="12">
        <v>83000</v>
      </c>
      <c r="C526" s="13">
        <v>34.44</v>
      </c>
    </row>
    <row r="527" spans="1:3" x14ac:dyDescent="0.25">
      <c r="A527" s="11">
        <v>83001</v>
      </c>
      <c r="B527" s="12">
        <v>84000</v>
      </c>
      <c r="C527" s="13">
        <v>34.47</v>
      </c>
    </row>
    <row r="528" spans="1:3" x14ac:dyDescent="0.25">
      <c r="A528" s="11">
        <v>84001</v>
      </c>
      <c r="B528" s="12">
        <v>85000</v>
      </c>
      <c r="C528" s="13">
        <v>34.5</v>
      </c>
    </row>
    <row r="529" spans="1:3" x14ac:dyDescent="0.25">
      <c r="A529" s="11">
        <v>85001</v>
      </c>
      <c r="B529" s="12">
        <v>86000</v>
      </c>
      <c r="C529" s="13">
        <v>34.520000000000003</v>
      </c>
    </row>
    <row r="530" spans="1:3" x14ac:dyDescent="0.25">
      <c r="A530" s="11">
        <v>86001</v>
      </c>
      <c r="B530" s="12">
        <v>87000</v>
      </c>
      <c r="C530" s="13">
        <v>34.549999999999997</v>
      </c>
    </row>
    <row r="531" spans="1:3" x14ac:dyDescent="0.25">
      <c r="A531" s="11">
        <v>87001</v>
      </c>
      <c r="B531" s="12">
        <v>88000</v>
      </c>
      <c r="C531" s="13">
        <v>34.57</v>
      </c>
    </row>
    <row r="532" spans="1:3" x14ac:dyDescent="0.25">
      <c r="A532" s="11">
        <v>88001</v>
      </c>
      <c r="B532" s="12">
        <v>89000</v>
      </c>
      <c r="C532" s="13">
        <v>34.590000000000003</v>
      </c>
    </row>
    <row r="533" spans="1:3" x14ac:dyDescent="0.25">
      <c r="A533" s="11">
        <v>89001</v>
      </c>
      <c r="B533" s="12">
        <v>90000</v>
      </c>
      <c r="C533" s="13">
        <v>34.619999999999997</v>
      </c>
    </row>
    <row r="534" spans="1:3" x14ac:dyDescent="0.25">
      <c r="A534" s="11">
        <v>90001</v>
      </c>
      <c r="B534" s="12">
        <v>91000</v>
      </c>
      <c r="C534" s="13">
        <v>34.64</v>
      </c>
    </row>
    <row r="535" spans="1:3" x14ac:dyDescent="0.25">
      <c r="A535" s="11">
        <v>91001</v>
      </c>
      <c r="B535" s="12">
        <v>92000</v>
      </c>
      <c r="C535" s="13">
        <v>34.659999999999997</v>
      </c>
    </row>
    <row r="536" spans="1:3" x14ac:dyDescent="0.25">
      <c r="A536" s="11">
        <v>92001</v>
      </c>
      <c r="B536" s="12">
        <v>93000</v>
      </c>
      <c r="C536" s="13">
        <v>34.68</v>
      </c>
    </row>
    <row r="537" spans="1:3" x14ac:dyDescent="0.25">
      <c r="A537" s="11">
        <v>93001</v>
      </c>
      <c r="B537" s="12">
        <v>94000</v>
      </c>
      <c r="C537" s="13">
        <v>34.71</v>
      </c>
    </row>
    <row r="538" spans="1:3" x14ac:dyDescent="0.25">
      <c r="A538" s="11">
        <v>94001</v>
      </c>
      <c r="B538" s="12">
        <v>95000</v>
      </c>
      <c r="C538" s="13">
        <v>34.729999999999997</v>
      </c>
    </row>
    <row r="539" spans="1:3" x14ac:dyDescent="0.25">
      <c r="A539" s="11">
        <v>95001</v>
      </c>
      <c r="B539" s="12">
        <v>96000</v>
      </c>
      <c r="C539" s="13">
        <v>34.75</v>
      </c>
    </row>
    <row r="540" spans="1:3" x14ac:dyDescent="0.25">
      <c r="A540" s="11">
        <v>96001</v>
      </c>
      <c r="B540" s="12">
        <v>97000</v>
      </c>
      <c r="C540" s="13">
        <v>34.770000000000003</v>
      </c>
    </row>
    <row r="541" spans="1:3" x14ac:dyDescent="0.25">
      <c r="A541" s="11">
        <v>97001</v>
      </c>
      <c r="B541" s="12">
        <v>98000</v>
      </c>
      <c r="C541" s="13">
        <v>34.79</v>
      </c>
    </row>
    <row r="542" spans="1:3" x14ac:dyDescent="0.25">
      <c r="A542" s="11">
        <v>98001</v>
      </c>
      <c r="B542" s="12">
        <v>99000</v>
      </c>
      <c r="C542" s="13">
        <v>34.81</v>
      </c>
    </row>
    <row r="543" spans="1:3" x14ac:dyDescent="0.25">
      <c r="A543" s="11">
        <v>99001</v>
      </c>
      <c r="B543" s="12">
        <v>100000</v>
      </c>
      <c r="C543" s="13">
        <v>34.82</v>
      </c>
    </row>
    <row r="544" spans="1:3" x14ac:dyDescent="0.25">
      <c r="A544" s="11">
        <v>100001</v>
      </c>
      <c r="B544" s="12">
        <v>101000</v>
      </c>
      <c r="C544" s="13">
        <v>34.840000000000003</v>
      </c>
    </row>
    <row r="545" spans="1:3" x14ac:dyDescent="0.25">
      <c r="A545" s="11">
        <v>101001</v>
      </c>
      <c r="B545" s="12">
        <v>102000</v>
      </c>
      <c r="C545" s="13">
        <v>34.86</v>
      </c>
    </row>
    <row r="546" spans="1:3" x14ac:dyDescent="0.25">
      <c r="A546" s="11">
        <v>102001</v>
      </c>
      <c r="B546" s="12">
        <v>103000</v>
      </c>
      <c r="C546" s="13">
        <v>34.880000000000003</v>
      </c>
    </row>
    <row r="547" spans="1:3" x14ac:dyDescent="0.25">
      <c r="A547" s="11">
        <v>103001</v>
      </c>
      <c r="B547" s="12">
        <v>104000</v>
      </c>
      <c r="C547" s="13">
        <v>34.9</v>
      </c>
    </row>
    <row r="548" spans="1:3" x14ac:dyDescent="0.25">
      <c r="A548" s="11">
        <v>104001</v>
      </c>
      <c r="B548" s="12">
        <v>105000</v>
      </c>
      <c r="C548" s="13">
        <v>34.909999999999997</v>
      </c>
    </row>
    <row r="549" spans="1:3" x14ac:dyDescent="0.25">
      <c r="A549" s="11">
        <v>105001</v>
      </c>
      <c r="B549" s="12">
        <v>106000</v>
      </c>
      <c r="C549" s="13">
        <v>34.93</v>
      </c>
    </row>
    <row r="550" spans="1:3" x14ac:dyDescent="0.25">
      <c r="A550" s="11">
        <v>106001</v>
      </c>
      <c r="B550" s="12">
        <v>107000</v>
      </c>
      <c r="C550" s="13">
        <v>34.950000000000003</v>
      </c>
    </row>
    <row r="551" spans="1:3" x14ac:dyDescent="0.25">
      <c r="A551" s="11">
        <v>107001</v>
      </c>
      <c r="B551" s="12">
        <v>108000</v>
      </c>
      <c r="C551" s="13">
        <v>34.96</v>
      </c>
    </row>
    <row r="552" spans="1:3" x14ac:dyDescent="0.25">
      <c r="A552" s="11">
        <v>108001</v>
      </c>
      <c r="B552" s="12">
        <v>109000</v>
      </c>
      <c r="C552" s="13">
        <v>34.979999999999997</v>
      </c>
    </row>
    <row r="553" spans="1:3" x14ac:dyDescent="0.25">
      <c r="A553" s="11">
        <v>109001</v>
      </c>
      <c r="B553" s="12">
        <v>110000</v>
      </c>
      <c r="C553" s="13">
        <v>34.99</v>
      </c>
    </row>
    <row r="554" spans="1:3" x14ac:dyDescent="0.25">
      <c r="A554" s="11">
        <v>110001</v>
      </c>
      <c r="B554" s="12">
        <v>111000</v>
      </c>
      <c r="C554" s="13">
        <v>35.01</v>
      </c>
    </row>
    <row r="555" spans="1:3" x14ac:dyDescent="0.25">
      <c r="A555" s="11">
        <v>111001</v>
      </c>
      <c r="B555" s="12">
        <v>112000</v>
      </c>
      <c r="C555" s="13">
        <v>35.020000000000003</v>
      </c>
    </row>
    <row r="556" spans="1:3" x14ac:dyDescent="0.25">
      <c r="A556" s="11">
        <v>112001</v>
      </c>
      <c r="B556" s="12">
        <v>113000</v>
      </c>
      <c r="C556" s="13">
        <v>35.04</v>
      </c>
    </row>
    <row r="557" spans="1:3" x14ac:dyDescent="0.25">
      <c r="A557" s="11">
        <v>113001</v>
      </c>
      <c r="B557" s="12">
        <v>114000</v>
      </c>
      <c r="C557" s="13">
        <v>35.049999999999997</v>
      </c>
    </row>
    <row r="558" spans="1:3" x14ac:dyDescent="0.25">
      <c r="A558" s="11">
        <v>114001</v>
      </c>
      <c r="B558" s="12">
        <v>115000</v>
      </c>
      <c r="C558" s="13">
        <v>35.07</v>
      </c>
    </row>
    <row r="559" spans="1:3" x14ac:dyDescent="0.25">
      <c r="A559" s="11">
        <v>115001</v>
      </c>
      <c r="B559" s="12">
        <v>116000</v>
      </c>
      <c r="C559" s="13">
        <v>35.08</v>
      </c>
    </row>
    <row r="560" spans="1:3" x14ac:dyDescent="0.25">
      <c r="A560" s="11">
        <v>116001</v>
      </c>
      <c r="B560" s="12">
        <v>117000</v>
      </c>
      <c r="C560" s="13">
        <v>35.1</v>
      </c>
    </row>
    <row r="561" spans="1:3" x14ac:dyDescent="0.25">
      <c r="A561" s="11">
        <v>117001</v>
      </c>
      <c r="B561" s="12">
        <v>118000</v>
      </c>
      <c r="C561" s="13">
        <v>35.11</v>
      </c>
    </row>
    <row r="562" spans="1:3" x14ac:dyDescent="0.25">
      <c r="A562" s="11">
        <v>118001</v>
      </c>
      <c r="B562" s="12">
        <v>119000</v>
      </c>
      <c r="C562" s="13">
        <v>35.119999999999997</v>
      </c>
    </row>
    <row r="563" spans="1:3" x14ac:dyDescent="0.25">
      <c r="A563" s="11">
        <v>119001</v>
      </c>
      <c r="B563" s="12">
        <v>120000</v>
      </c>
      <c r="C563" s="13">
        <v>35.130000000000003</v>
      </c>
    </row>
    <row r="564" spans="1:3" x14ac:dyDescent="0.25">
      <c r="A564" s="11">
        <v>120001</v>
      </c>
      <c r="B564" s="12">
        <v>121000</v>
      </c>
      <c r="C564" s="13">
        <v>35.15</v>
      </c>
    </row>
    <row r="565" spans="1:3" x14ac:dyDescent="0.25">
      <c r="A565" s="11">
        <v>121001</v>
      </c>
      <c r="B565" s="12">
        <v>122000</v>
      </c>
      <c r="C565" s="13">
        <v>35.159999999999997</v>
      </c>
    </row>
    <row r="566" spans="1:3" x14ac:dyDescent="0.25">
      <c r="A566" s="11">
        <v>122001</v>
      </c>
      <c r="B566" s="12">
        <v>123000</v>
      </c>
      <c r="C566" s="13">
        <v>35.17</v>
      </c>
    </row>
    <row r="567" spans="1:3" x14ac:dyDescent="0.25">
      <c r="A567" s="11">
        <v>123001</v>
      </c>
      <c r="B567" s="12">
        <v>124000</v>
      </c>
      <c r="C567" s="13">
        <v>35.18</v>
      </c>
    </row>
    <row r="568" spans="1:3" x14ac:dyDescent="0.25">
      <c r="A568" s="11">
        <v>124001</v>
      </c>
      <c r="B568" s="12">
        <v>125000</v>
      </c>
      <c r="C568" s="13">
        <v>35.200000000000003</v>
      </c>
    </row>
    <row r="569" spans="1:3" x14ac:dyDescent="0.25">
      <c r="A569" s="11">
        <v>125001</v>
      </c>
      <c r="B569" s="12">
        <v>126000</v>
      </c>
      <c r="C569" s="13">
        <v>35.21</v>
      </c>
    </row>
    <row r="570" spans="1:3" x14ac:dyDescent="0.25">
      <c r="A570" s="11">
        <v>126001</v>
      </c>
      <c r="B570" s="12">
        <v>127000</v>
      </c>
      <c r="C570" s="13">
        <v>35.22</v>
      </c>
    </row>
    <row r="571" spans="1:3" x14ac:dyDescent="0.25">
      <c r="A571" s="11">
        <v>127001</v>
      </c>
      <c r="B571" s="12">
        <v>128000</v>
      </c>
      <c r="C571" s="13">
        <v>35.229999999999997</v>
      </c>
    </row>
    <row r="572" spans="1:3" x14ac:dyDescent="0.25">
      <c r="A572" s="11">
        <v>128001</v>
      </c>
      <c r="B572" s="12">
        <v>129000</v>
      </c>
      <c r="C572" s="13">
        <v>35.24</v>
      </c>
    </row>
    <row r="573" spans="1:3" x14ac:dyDescent="0.25">
      <c r="A573" s="11">
        <v>129001</v>
      </c>
      <c r="B573" s="12">
        <v>130000</v>
      </c>
      <c r="C573" s="13">
        <v>35.25</v>
      </c>
    </row>
    <row r="574" spans="1:3" x14ac:dyDescent="0.25">
      <c r="A574" s="11">
        <v>130001</v>
      </c>
      <c r="B574" s="12">
        <v>131000</v>
      </c>
      <c r="C574" s="13">
        <v>35.26</v>
      </c>
    </row>
    <row r="575" spans="1:3" x14ac:dyDescent="0.25">
      <c r="A575" s="11">
        <v>131001</v>
      </c>
      <c r="B575" s="12">
        <v>132000</v>
      </c>
      <c r="C575" s="13">
        <v>35.270000000000003</v>
      </c>
    </row>
    <row r="576" spans="1:3" x14ac:dyDescent="0.25">
      <c r="A576" s="11">
        <v>132001</v>
      </c>
      <c r="B576" s="12">
        <v>133000</v>
      </c>
      <c r="C576" s="13">
        <v>35.29</v>
      </c>
    </row>
    <row r="577" spans="1:3" x14ac:dyDescent="0.25">
      <c r="A577" s="11">
        <v>133001</v>
      </c>
      <c r="B577" s="12">
        <v>134000</v>
      </c>
      <c r="C577" s="13">
        <v>35.29</v>
      </c>
    </row>
    <row r="578" spans="1:3" x14ac:dyDescent="0.25">
      <c r="A578" s="11">
        <v>134001</v>
      </c>
      <c r="B578" s="12">
        <v>135000</v>
      </c>
      <c r="C578" s="13">
        <v>35.299999999999997</v>
      </c>
    </row>
    <row r="579" spans="1:3" x14ac:dyDescent="0.25">
      <c r="A579" s="11">
        <v>135001</v>
      </c>
      <c r="B579" s="12">
        <v>136000</v>
      </c>
      <c r="C579" s="13">
        <v>35.32</v>
      </c>
    </row>
    <row r="580" spans="1:3" x14ac:dyDescent="0.25">
      <c r="A580" s="11">
        <v>136001</v>
      </c>
      <c r="B580" s="12">
        <v>137000</v>
      </c>
      <c r="C580" s="13">
        <v>35.32</v>
      </c>
    </row>
    <row r="581" spans="1:3" x14ac:dyDescent="0.25">
      <c r="A581" s="11">
        <v>137001</v>
      </c>
      <c r="B581" s="12">
        <v>138000</v>
      </c>
      <c r="C581" s="13">
        <v>35.340000000000003</v>
      </c>
    </row>
    <row r="582" spans="1:3" x14ac:dyDescent="0.25">
      <c r="A582" s="11">
        <v>138001</v>
      </c>
      <c r="B582" s="12">
        <v>139000</v>
      </c>
      <c r="C582" s="13">
        <v>35.340000000000003</v>
      </c>
    </row>
    <row r="583" spans="1:3" x14ac:dyDescent="0.25">
      <c r="A583" s="11">
        <v>139001</v>
      </c>
      <c r="B583" s="12">
        <v>140000</v>
      </c>
      <c r="C583" s="13">
        <v>35.35</v>
      </c>
    </row>
    <row r="584" spans="1:3" x14ac:dyDescent="0.25">
      <c r="A584" s="11">
        <v>140001</v>
      </c>
      <c r="B584" s="12">
        <v>141000</v>
      </c>
      <c r="C584" s="13">
        <v>35.36</v>
      </c>
    </row>
    <row r="585" spans="1:3" x14ac:dyDescent="0.25">
      <c r="A585" s="11">
        <v>141001</v>
      </c>
      <c r="B585" s="12">
        <v>142000</v>
      </c>
      <c r="C585" s="13">
        <v>35.369999999999997</v>
      </c>
    </row>
    <row r="586" spans="1:3" x14ac:dyDescent="0.25">
      <c r="A586" s="11">
        <v>142001</v>
      </c>
      <c r="B586" s="12">
        <v>143000</v>
      </c>
      <c r="C586" s="13">
        <v>35.380000000000003</v>
      </c>
    </row>
    <row r="587" spans="1:3" x14ac:dyDescent="0.25">
      <c r="A587" s="11">
        <v>143001</v>
      </c>
      <c r="B587" s="12">
        <v>144000</v>
      </c>
      <c r="C587" s="13">
        <v>35.39</v>
      </c>
    </row>
    <row r="588" spans="1:3" x14ac:dyDescent="0.25">
      <c r="A588" s="11">
        <v>144001</v>
      </c>
      <c r="B588" s="12">
        <v>145000</v>
      </c>
      <c r="C588" s="13">
        <v>35.4</v>
      </c>
    </row>
    <row r="589" spans="1:3" x14ac:dyDescent="0.25">
      <c r="A589" s="11">
        <v>145001</v>
      </c>
      <c r="B589" s="12">
        <v>146000</v>
      </c>
      <c r="C589" s="13">
        <v>35.409999999999997</v>
      </c>
    </row>
    <row r="590" spans="1:3" x14ac:dyDescent="0.25">
      <c r="A590" s="11">
        <v>146001</v>
      </c>
      <c r="B590" s="12">
        <v>147000</v>
      </c>
      <c r="C590" s="13">
        <v>35.42</v>
      </c>
    </row>
    <row r="591" spans="1:3" x14ac:dyDescent="0.25">
      <c r="A591" s="11">
        <v>147001</v>
      </c>
      <c r="B591" s="12">
        <v>148000</v>
      </c>
      <c r="C591" s="13">
        <v>35.43</v>
      </c>
    </row>
    <row r="592" spans="1:3" x14ac:dyDescent="0.25">
      <c r="A592" s="11">
        <v>148001</v>
      </c>
      <c r="B592" s="12">
        <v>149000</v>
      </c>
      <c r="C592" s="13">
        <v>35.43</v>
      </c>
    </row>
    <row r="593" spans="1:3" x14ac:dyDescent="0.25">
      <c r="A593" s="11">
        <v>149001</v>
      </c>
      <c r="B593" s="12">
        <v>150000</v>
      </c>
      <c r="C593" s="13">
        <v>35.44</v>
      </c>
    </row>
    <row r="594" spans="1:3" x14ac:dyDescent="0.25">
      <c r="A594" s="11">
        <v>150001</v>
      </c>
      <c r="B594" s="12">
        <v>151000</v>
      </c>
      <c r="C594" s="13">
        <v>35.450000000000003</v>
      </c>
    </row>
    <row r="595" spans="1:3" x14ac:dyDescent="0.25">
      <c r="A595" s="11">
        <v>151001</v>
      </c>
      <c r="B595" s="12">
        <v>152000</v>
      </c>
      <c r="C595" s="13">
        <v>35.46</v>
      </c>
    </row>
    <row r="596" spans="1:3" x14ac:dyDescent="0.25">
      <c r="A596" s="11">
        <v>152001</v>
      </c>
      <c r="B596" s="12">
        <v>153000</v>
      </c>
      <c r="C596" s="13">
        <v>35.47</v>
      </c>
    </row>
    <row r="597" spans="1:3" x14ac:dyDescent="0.25">
      <c r="A597" s="11">
        <v>153001</v>
      </c>
      <c r="B597" s="12">
        <v>154000</v>
      </c>
      <c r="C597" s="13">
        <v>35.47</v>
      </c>
    </row>
    <row r="598" spans="1:3" x14ac:dyDescent="0.25">
      <c r="A598" s="11">
        <v>154001</v>
      </c>
      <c r="B598" s="12">
        <v>155000</v>
      </c>
      <c r="C598" s="13">
        <v>35.479999999999997</v>
      </c>
    </row>
    <row r="599" spans="1:3" x14ac:dyDescent="0.25">
      <c r="A599" s="11">
        <v>155001</v>
      </c>
      <c r="B599" s="12">
        <v>156000</v>
      </c>
      <c r="C599" s="13">
        <v>35.49</v>
      </c>
    </row>
    <row r="600" spans="1:3" x14ac:dyDescent="0.25">
      <c r="A600" s="11">
        <v>156001</v>
      </c>
      <c r="B600" s="12">
        <v>157000</v>
      </c>
      <c r="C600" s="13">
        <v>35.5</v>
      </c>
    </row>
    <row r="601" spans="1:3" x14ac:dyDescent="0.25">
      <c r="A601" s="11">
        <v>157001</v>
      </c>
      <c r="B601" s="12">
        <v>158000</v>
      </c>
      <c r="C601" s="13">
        <v>35.5</v>
      </c>
    </row>
    <row r="602" spans="1:3" x14ac:dyDescent="0.25">
      <c r="A602" s="11">
        <v>158001</v>
      </c>
      <c r="B602" s="12">
        <v>159000</v>
      </c>
      <c r="C602" s="13">
        <v>35.51</v>
      </c>
    </row>
    <row r="603" spans="1:3" x14ac:dyDescent="0.25">
      <c r="A603" s="11">
        <v>159001</v>
      </c>
      <c r="B603" s="12">
        <v>160000</v>
      </c>
      <c r="C603" s="13">
        <v>35.520000000000003</v>
      </c>
    </row>
    <row r="604" spans="1:3" x14ac:dyDescent="0.25">
      <c r="A604" s="11">
        <v>160001</v>
      </c>
      <c r="B604" s="12">
        <v>161000</v>
      </c>
      <c r="C604" s="13">
        <v>35.53</v>
      </c>
    </row>
    <row r="605" spans="1:3" x14ac:dyDescent="0.25">
      <c r="A605" s="11">
        <v>161001</v>
      </c>
      <c r="B605" s="12">
        <v>162000</v>
      </c>
      <c r="C605" s="13">
        <v>35.53</v>
      </c>
    </row>
    <row r="606" spans="1:3" x14ac:dyDescent="0.25">
      <c r="A606" s="11">
        <v>162001</v>
      </c>
      <c r="B606" s="12">
        <v>163000</v>
      </c>
      <c r="C606" s="13">
        <v>35.54</v>
      </c>
    </row>
    <row r="607" spans="1:3" x14ac:dyDescent="0.25">
      <c r="A607" s="11">
        <v>163001</v>
      </c>
      <c r="B607" s="12">
        <v>164000</v>
      </c>
      <c r="C607" s="13">
        <v>35.549999999999997</v>
      </c>
    </row>
    <row r="608" spans="1:3" x14ac:dyDescent="0.25">
      <c r="A608" s="11">
        <v>164001</v>
      </c>
      <c r="B608" s="12">
        <v>165000</v>
      </c>
      <c r="C608" s="13">
        <v>35.549999999999997</v>
      </c>
    </row>
    <row r="609" spans="1:3" x14ac:dyDescent="0.25">
      <c r="A609" s="11">
        <v>165001</v>
      </c>
      <c r="B609" s="12">
        <v>166000</v>
      </c>
      <c r="C609" s="13">
        <v>35.56</v>
      </c>
    </row>
    <row r="610" spans="1:3" x14ac:dyDescent="0.25">
      <c r="A610" s="11">
        <v>166001</v>
      </c>
      <c r="B610" s="12">
        <v>167000</v>
      </c>
      <c r="C610" s="13">
        <v>35.57</v>
      </c>
    </row>
    <row r="611" spans="1:3" x14ac:dyDescent="0.25">
      <c r="A611" s="11">
        <v>167001</v>
      </c>
      <c r="B611" s="12">
        <v>168000</v>
      </c>
      <c r="C611" s="13">
        <v>35.57</v>
      </c>
    </row>
    <row r="612" spans="1:3" x14ac:dyDescent="0.25">
      <c r="A612" s="11">
        <v>168001</v>
      </c>
      <c r="B612" s="12">
        <v>169000</v>
      </c>
      <c r="C612" s="13">
        <v>35.58</v>
      </c>
    </row>
    <row r="613" spans="1:3" x14ac:dyDescent="0.25">
      <c r="A613" s="11">
        <v>169001</v>
      </c>
      <c r="B613" s="12">
        <v>170000</v>
      </c>
      <c r="C613" s="13">
        <v>35.590000000000003</v>
      </c>
    </row>
    <row r="614" spans="1:3" x14ac:dyDescent="0.25">
      <c r="A614" s="11">
        <v>170001</v>
      </c>
      <c r="B614" s="12">
        <v>171000</v>
      </c>
      <c r="C614" s="13">
        <v>35.590000000000003</v>
      </c>
    </row>
    <row r="615" spans="1:3" x14ac:dyDescent="0.25">
      <c r="A615" s="11">
        <v>171001</v>
      </c>
      <c r="B615" s="12">
        <v>172000</v>
      </c>
      <c r="C615" s="13">
        <v>35.6</v>
      </c>
    </row>
    <row r="616" spans="1:3" x14ac:dyDescent="0.25">
      <c r="A616" s="11">
        <v>172001</v>
      </c>
      <c r="B616" s="12">
        <v>173000</v>
      </c>
      <c r="C616" s="13">
        <v>35.61</v>
      </c>
    </row>
    <row r="617" spans="1:3" x14ac:dyDescent="0.25">
      <c r="A617" s="11">
        <v>173001</v>
      </c>
      <c r="B617" s="12">
        <v>174000</v>
      </c>
      <c r="C617" s="13">
        <v>35.61</v>
      </c>
    </row>
    <row r="618" spans="1:3" x14ac:dyDescent="0.25">
      <c r="A618" s="11">
        <v>174001</v>
      </c>
      <c r="B618" s="12">
        <v>175000</v>
      </c>
      <c r="C618" s="13">
        <v>35.619999999999997</v>
      </c>
    </row>
    <row r="619" spans="1:3" x14ac:dyDescent="0.25">
      <c r="A619" s="11">
        <v>175001</v>
      </c>
      <c r="B619" s="12">
        <v>176000</v>
      </c>
      <c r="C619" s="13">
        <v>35.619999999999997</v>
      </c>
    </row>
    <row r="620" spans="1:3" x14ac:dyDescent="0.25">
      <c r="A620" s="11">
        <v>176001</v>
      </c>
      <c r="B620" s="12">
        <v>177000</v>
      </c>
      <c r="C620" s="13">
        <v>35.630000000000003</v>
      </c>
    </row>
    <row r="621" spans="1:3" x14ac:dyDescent="0.25">
      <c r="A621" s="11">
        <v>177001</v>
      </c>
      <c r="B621" s="12">
        <v>178000</v>
      </c>
      <c r="C621" s="13">
        <v>35.630000000000003</v>
      </c>
    </row>
    <row r="622" spans="1:3" x14ac:dyDescent="0.25">
      <c r="A622" s="11">
        <v>178001</v>
      </c>
      <c r="B622" s="12">
        <v>179000</v>
      </c>
      <c r="C622" s="13">
        <v>35.64</v>
      </c>
    </row>
    <row r="623" spans="1:3" x14ac:dyDescent="0.25">
      <c r="A623" s="11">
        <v>179001</v>
      </c>
      <c r="B623" s="12">
        <v>180000</v>
      </c>
      <c r="C623" s="13">
        <v>35.65</v>
      </c>
    </row>
    <row r="624" spans="1:3" x14ac:dyDescent="0.25">
      <c r="A624" s="11">
        <v>180001</v>
      </c>
      <c r="B624" s="12">
        <v>181000</v>
      </c>
      <c r="C624" s="13">
        <v>35.65</v>
      </c>
    </row>
    <row r="625" spans="1:3" x14ac:dyDescent="0.25">
      <c r="A625" s="11">
        <v>181001</v>
      </c>
      <c r="B625" s="12">
        <v>182000</v>
      </c>
      <c r="C625" s="13">
        <v>35.659999999999997</v>
      </c>
    </row>
    <row r="626" spans="1:3" x14ac:dyDescent="0.25">
      <c r="A626" s="11">
        <v>182001</v>
      </c>
      <c r="B626" s="12">
        <v>183000</v>
      </c>
      <c r="C626" s="13">
        <v>35.659999999999997</v>
      </c>
    </row>
    <row r="627" spans="1:3" x14ac:dyDescent="0.25">
      <c r="A627" s="11">
        <v>183001</v>
      </c>
      <c r="B627" s="12">
        <v>184000</v>
      </c>
      <c r="C627" s="13">
        <v>35.67</v>
      </c>
    </row>
    <row r="628" spans="1:3" x14ac:dyDescent="0.25">
      <c r="A628" s="11">
        <v>184001</v>
      </c>
      <c r="B628" s="12">
        <v>185000</v>
      </c>
      <c r="C628" s="13">
        <v>35.67</v>
      </c>
    </row>
    <row r="629" spans="1:3" x14ac:dyDescent="0.25">
      <c r="A629" s="11">
        <v>185001</v>
      </c>
      <c r="B629" s="12">
        <v>186000</v>
      </c>
      <c r="C629" s="13">
        <v>35.68</v>
      </c>
    </row>
    <row r="630" spans="1:3" x14ac:dyDescent="0.25">
      <c r="A630" s="11">
        <v>186001</v>
      </c>
      <c r="B630" s="12">
        <v>187000</v>
      </c>
      <c r="C630" s="13">
        <v>35.68</v>
      </c>
    </row>
    <row r="631" spans="1:3" x14ac:dyDescent="0.25">
      <c r="A631" s="11">
        <v>187001</v>
      </c>
      <c r="B631" s="12">
        <v>188000</v>
      </c>
      <c r="C631" s="13">
        <v>35.69</v>
      </c>
    </row>
    <row r="632" spans="1:3" x14ac:dyDescent="0.25">
      <c r="A632" s="11">
        <v>188001</v>
      </c>
      <c r="B632" s="12">
        <v>189000</v>
      </c>
      <c r="C632" s="13">
        <v>35.700000000000003</v>
      </c>
    </row>
    <row r="633" spans="1:3" x14ac:dyDescent="0.25">
      <c r="A633" s="11">
        <v>189001</v>
      </c>
      <c r="B633" s="12">
        <v>190000</v>
      </c>
      <c r="C633" s="13">
        <v>35.700000000000003</v>
      </c>
    </row>
    <row r="634" spans="1:3" x14ac:dyDescent="0.25">
      <c r="A634" s="11">
        <v>190001</v>
      </c>
      <c r="B634" s="12">
        <v>191000</v>
      </c>
      <c r="C634" s="13">
        <v>35.71</v>
      </c>
    </row>
    <row r="635" spans="1:3" x14ac:dyDescent="0.25">
      <c r="A635" s="11">
        <v>191001</v>
      </c>
      <c r="B635" s="12">
        <v>192000</v>
      </c>
      <c r="C635" s="13">
        <v>35.71</v>
      </c>
    </row>
    <row r="636" spans="1:3" x14ac:dyDescent="0.25">
      <c r="A636" s="11">
        <v>192001</v>
      </c>
      <c r="B636" s="12">
        <v>193000</v>
      </c>
      <c r="C636" s="13">
        <v>35.72</v>
      </c>
    </row>
    <row r="637" spans="1:3" x14ac:dyDescent="0.25">
      <c r="A637" s="11">
        <v>193001</v>
      </c>
      <c r="B637" s="12">
        <v>194000</v>
      </c>
      <c r="C637" s="13">
        <v>35.72</v>
      </c>
    </row>
    <row r="638" spans="1:3" x14ac:dyDescent="0.25">
      <c r="A638" s="11">
        <v>194001</v>
      </c>
      <c r="B638" s="12">
        <v>195000</v>
      </c>
      <c r="C638" s="13">
        <v>35.729999999999997</v>
      </c>
    </row>
    <row r="639" spans="1:3" x14ac:dyDescent="0.25">
      <c r="A639" s="11">
        <v>195001</v>
      </c>
      <c r="B639" s="12">
        <v>196000</v>
      </c>
      <c r="C639" s="13">
        <v>35.729999999999997</v>
      </c>
    </row>
    <row r="640" spans="1:3" x14ac:dyDescent="0.25">
      <c r="A640" s="11">
        <v>196001</v>
      </c>
      <c r="B640" s="12">
        <v>197000</v>
      </c>
      <c r="C640" s="13">
        <v>35.74</v>
      </c>
    </row>
    <row r="641" spans="1:3" x14ac:dyDescent="0.25">
      <c r="A641" s="11">
        <v>197001</v>
      </c>
      <c r="B641" s="12">
        <v>198000</v>
      </c>
      <c r="C641" s="13">
        <v>35.74</v>
      </c>
    </row>
    <row r="642" spans="1:3" x14ac:dyDescent="0.25">
      <c r="A642" s="11">
        <v>198001</v>
      </c>
      <c r="B642" s="12">
        <v>199000</v>
      </c>
      <c r="C642" s="13">
        <v>35.74</v>
      </c>
    </row>
    <row r="643" spans="1:3" x14ac:dyDescent="0.25">
      <c r="A643" s="11">
        <v>199001</v>
      </c>
      <c r="B643" s="12">
        <v>200000</v>
      </c>
      <c r="C643" s="13">
        <v>35.75</v>
      </c>
    </row>
    <row r="644" spans="1:3" x14ac:dyDescent="0.25">
      <c r="A644" s="11">
        <v>200001</v>
      </c>
      <c r="B644" s="12">
        <v>201000</v>
      </c>
      <c r="C644" s="13">
        <v>35.75</v>
      </c>
    </row>
    <row r="645" spans="1:3" x14ac:dyDescent="0.25">
      <c r="A645" s="11">
        <v>201001</v>
      </c>
      <c r="B645" s="12">
        <v>202000</v>
      </c>
      <c r="C645" s="13">
        <v>35.76</v>
      </c>
    </row>
    <row r="646" spans="1:3" x14ac:dyDescent="0.25">
      <c r="A646" s="11">
        <v>202001</v>
      </c>
      <c r="B646" s="12">
        <v>203000</v>
      </c>
      <c r="C646" s="13">
        <v>35.76</v>
      </c>
    </row>
    <row r="647" spans="1:3" x14ac:dyDescent="0.25">
      <c r="A647" s="11">
        <v>203001</v>
      </c>
      <c r="B647" s="12">
        <v>204000</v>
      </c>
      <c r="C647" s="13">
        <v>35.770000000000003</v>
      </c>
    </row>
    <row r="648" spans="1:3" x14ac:dyDescent="0.25">
      <c r="A648" s="11">
        <v>204001</v>
      </c>
      <c r="B648" s="12">
        <v>205000</v>
      </c>
      <c r="C648" s="13">
        <v>35.770000000000003</v>
      </c>
    </row>
    <row r="649" spans="1:3" x14ac:dyDescent="0.25">
      <c r="A649" s="11">
        <v>205001</v>
      </c>
      <c r="B649" s="12">
        <v>206000</v>
      </c>
      <c r="C649" s="13">
        <v>35.78</v>
      </c>
    </row>
    <row r="650" spans="1:3" x14ac:dyDescent="0.25">
      <c r="A650" s="11">
        <v>206001</v>
      </c>
      <c r="B650" s="12">
        <v>207000</v>
      </c>
      <c r="C650" s="13">
        <v>35.78</v>
      </c>
    </row>
    <row r="651" spans="1:3" x14ac:dyDescent="0.25">
      <c r="A651" s="11">
        <v>207001</v>
      </c>
      <c r="B651" s="12">
        <v>208000</v>
      </c>
      <c r="C651" s="13">
        <v>35.78</v>
      </c>
    </row>
    <row r="652" spans="1:3" x14ac:dyDescent="0.25">
      <c r="A652" s="11">
        <v>208001</v>
      </c>
      <c r="B652" s="12">
        <v>209000</v>
      </c>
      <c r="C652" s="13">
        <v>35.79</v>
      </c>
    </row>
    <row r="653" spans="1:3" x14ac:dyDescent="0.25">
      <c r="A653" s="11">
        <v>209001</v>
      </c>
      <c r="B653" s="12">
        <v>210000</v>
      </c>
      <c r="C653" s="13">
        <v>35.79</v>
      </c>
    </row>
    <row r="654" spans="1:3" x14ac:dyDescent="0.25">
      <c r="A654" s="11">
        <v>210001</v>
      </c>
      <c r="B654" s="12">
        <v>211000</v>
      </c>
      <c r="C654" s="13">
        <v>35.799999999999997</v>
      </c>
    </row>
    <row r="655" spans="1:3" x14ac:dyDescent="0.25">
      <c r="A655" s="11">
        <v>211001</v>
      </c>
      <c r="B655" s="12">
        <v>212000</v>
      </c>
      <c r="C655" s="13">
        <v>35.799999999999997</v>
      </c>
    </row>
    <row r="656" spans="1:3" x14ac:dyDescent="0.25">
      <c r="A656" s="11">
        <v>212001</v>
      </c>
      <c r="B656" s="12">
        <v>213000</v>
      </c>
      <c r="C656" s="13">
        <v>35.81</v>
      </c>
    </row>
    <row r="657" spans="1:3" x14ac:dyDescent="0.25">
      <c r="A657" s="11">
        <v>213001</v>
      </c>
      <c r="B657" s="12">
        <v>214000</v>
      </c>
      <c r="C657" s="13">
        <v>35.81</v>
      </c>
    </row>
    <row r="658" spans="1:3" x14ac:dyDescent="0.25">
      <c r="A658" s="11">
        <v>214001</v>
      </c>
      <c r="B658" s="12">
        <v>215000</v>
      </c>
      <c r="C658" s="13">
        <v>35.81</v>
      </c>
    </row>
    <row r="659" spans="1:3" x14ac:dyDescent="0.25">
      <c r="A659" s="11">
        <v>215001</v>
      </c>
      <c r="B659" s="12">
        <v>216000</v>
      </c>
      <c r="C659" s="13">
        <v>35.82</v>
      </c>
    </row>
    <row r="660" spans="1:3" x14ac:dyDescent="0.25">
      <c r="A660" s="11">
        <v>216001</v>
      </c>
      <c r="B660" s="12">
        <v>217000</v>
      </c>
      <c r="C660" s="13">
        <v>35.82</v>
      </c>
    </row>
    <row r="661" spans="1:3" x14ac:dyDescent="0.25">
      <c r="A661" s="11">
        <v>217001</v>
      </c>
      <c r="B661" s="12">
        <v>218000</v>
      </c>
      <c r="C661" s="13">
        <v>35.82</v>
      </c>
    </row>
    <row r="662" spans="1:3" x14ac:dyDescent="0.25">
      <c r="A662" s="11">
        <v>218001</v>
      </c>
      <c r="B662" s="12">
        <v>219000</v>
      </c>
      <c r="C662" s="13">
        <v>35.83</v>
      </c>
    </row>
    <row r="663" spans="1:3" x14ac:dyDescent="0.25">
      <c r="A663" s="11">
        <v>219001</v>
      </c>
      <c r="B663" s="12">
        <v>220000</v>
      </c>
      <c r="C663" s="13">
        <v>35.83</v>
      </c>
    </row>
    <row r="664" spans="1:3" x14ac:dyDescent="0.25">
      <c r="A664" s="11">
        <v>220001</v>
      </c>
      <c r="B664" s="12">
        <v>221000</v>
      </c>
      <c r="C664" s="13">
        <v>35.840000000000003</v>
      </c>
    </row>
    <row r="665" spans="1:3" x14ac:dyDescent="0.25">
      <c r="A665" s="11">
        <v>221001</v>
      </c>
      <c r="B665" s="12">
        <v>222000</v>
      </c>
      <c r="C665" s="13">
        <v>35.840000000000003</v>
      </c>
    </row>
    <row r="666" spans="1:3" x14ac:dyDescent="0.25">
      <c r="A666" s="11">
        <v>222001</v>
      </c>
      <c r="B666" s="12">
        <v>223000</v>
      </c>
      <c r="C666" s="13">
        <v>35.840000000000003</v>
      </c>
    </row>
    <row r="667" spans="1:3" x14ac:dyDescent="0.25">
      <c r="A667" s="11">
        <v>223001</v>
      </c>
      <c r="B667" s="12">
        <v>224000</v>
      </c>
      <c r="C667" s="13">
        <v>35.85</v>
      </c>
    </row>
    <row r="668" spans="1:3" x14ac:dyDescent="0.25">
      <c r="A668" s="11">
        <v>224001</v>
      </c>
      <c r="B668" s="12">
        <v>225000</v>
      </c>
      <c r="C668" s="13">
        <v>35.85</v>
      </c>
    </row>
    <row r="669" spans="1:3" x14ac:dyDescent="0.25">
      <c r="A669" s="11">
        <v>225001</v>
      </c>
      <c r="B669" s="12">
        <v>226000</v>
      </c>
      <c r="C669" s="13">
        <v>35.86</v>
      </c>
    </row>
    <row r="670" spans="1:3" x14ac:dyDescent="0.25">
      <c r="A670" s="11">
        <v>226001</v>
      </c>
      <c r="B670" s="12">
        <v>227000</v>
      </c>
      <c r="C670" s="13">
        <v>35.86</v>
      </c>
    </row>
    <row r="671" spans="1:3" x14ac:dyDescent="0.25">
      <c r="A671" s="11">
        <v>227001</v>
      </c>
      <c r="B671" s="12">
        <v>228000</v>
      </c>
      <c r="C671" s="13">
        <v>35.86</v>
      </c>
    </row>
    <row r="672" spans="1:3" x14ac:dyDescent="0.25">
      <c r="A672" s="11">
        <v>228001</v>
      </c>
      <c r="B672" s="12">
        <v>229000</v>
      </c>
      <c r="C672" s="13">
        <v>35.869999999999997</v>
      </c>
    </row>
    <row r="673" spans="1:3" x14ac:dyDescent="0.25">
      <c r="A673" s="11">
        <v>229001</v>
      </c>
      <c r="B673" s="12">
        <v>230000</v>
      </c>
      <c r="C673" s="13">
        <v>35.869999999999997</v>
      </c>
    </row>
    <row r="674" spans="1:3" x14ac:dyDescent="0.25">
      <c r="A674" s="11">
        <v>230001</v>
      </c>
      <c r="B674" s="12">
        <v>231000</v>
      </c>
      <c r="C674" s="13">
        <v>35.869999999999997</v>
      </c>
    </row>
    <row r="675" spans="1:3" x14ac:dyDescent="0.25">
      <c r="A675" s="11">
        <v>231001</v>
      </c>
      <c r="B675" s="12">
        <v>232000</v>
      </c>
      <c r="C675" s="13">
        <v>35.880000000000003</v>
      </c>
    </row>
    <row r="676" spans="1:3" x14ac:dyDescent="0.25">
      <c r="A676" s="11">
        <v>232001</v>
      </c>
      <c r="B676" s="12">
        <v>233000</v>
      </c>
      <c r="C676" s="13">
        <v>35.880000000000003</v>
      </c>
    </row>
    <row r="677" spans="1:3" x14ac:dyDescent="0.25">
      <c r="A677" s="11">
        <v>233001</v>
      </c>
      <c r="B677" s="12">
        <v>234000</v>
      </c>
      <c r="C677" s="13">
        <v>35.880000000000003</v>
      </c>
    </row>
    <row r="678" spans="1:3" x14ac:dyDescent="0.25">
      <c r="A678" s="11">
        <v>234001</v>
      </c>
      <c r="B678" s="12">
        <v>235000</v>
      </c>
      <c r="C678" s="13">
        <v>35.89</v>
      </c>
    </row>
    <row r="679" spans="1:3" x14ac:dyDescent="0.25">
      <c r="A679" s="11">
        <v>235001</v>
      </c>
      <c r="B679" s="12">
        <v>236000</v>
      </c>
      <c r="C679" s="13">
        <v>35.89</v>
      </c>
    </row>
    <row r="680" spans="1:3" x14ac:dyDescent="0.25">
      <c r="A680" s="11">
        <v>236001</v>
      </c>
      <c r="B680" s="12">
        <v>237000</v>
      </c>
      <c r="C680" s="13">
        <v>35.89</v>
      </c>
    </row>
    <row r="681" spans="1:3" x14ac:dyDescent="0.25">
      <c r="A681" s="11">
        <v>237001</v>
      </c>
      <c r="B681" s="12">
        <v>238000</v>
      </c>
      <c r="C681" s="13">
        <v>35.9</v>
      </c>
    </row>
    <row r="682" spans="1:3" x14ac:dyDescent="0.25">
      <c r="A682" s="11">
        <v>238001</v>
      </c>
      <c r="B682" s="12">
        <v>239000</v>
      </c>
      <c r="C682" s="13">
        <v>35.9</v>
      </c>
    </row>
    <row r="683" spans="1:3" x14ac:dyDescent="0.25">
      <c r="A683" s="11">
        <v>239001</v>
      </c>
      <c r="B683" s="12">
        <v>240000</v>
      </c>
      <c r="C683" s="13">
        <v>35.9</v>
      </c>
    </row>
    <row r="684" spans="1:3" x14ac:dyDescent="0.25">
      <c r="A684" s="11">
        <v>240001</v>
      </c>
      <c r="B684" s="12">
        <v>241000</v>
      </c>
      <c r="C684" s="13">
        <v>35.909999999999997</v>
      </c>
    </row>
    <row r="685" spans="1:3" x14ac:dyDescent="0.25">
      <c r="A685" s="11">
        <v>241001</v>
      </c>
      <c r="B685" s="12">
        <v>242000</v>
      </c>
      <c r="C685" s="13">
        <v>35.909999999999997</v>
      </c>
    </row>
    <row r="686" spans="1:3" x14ac:dyDescent="0.25">
      <c r="A686" s="11">
        <v>242001</v>
      </c>
      <c r="B686" s="12">
        <v>243000</v>
      </c>
      <c r="C686" s="13">
        <v>35.909999999999997</v>
      </c>
    </row>
    <row r="687" spans="1:3" x14ac:dyDescent="0.25">
      <c r="A687" s="11">
        <v>243001</v>
      </c>
      <c r="B687" s="12">
        <v>244000</v>
      </c>
      <c r="C687" s="13">
        <v>35.909999999999997</v>
      </c>
    </row>
    <row r="688" spans="1:3" x14ac:dyDescent="0.25">
      <c r="A688" s="11">
        <v>244001</v>
      </c>
      <c r="B688" s="12">
        <v>245000</v>
      </c>
      <c r="C688" s="13">
        <v>35.92</v>
      </c>
    </row>
    <row r="689" spans="1:3" x14ac:dyDescent="0.25">
      <c r="A689" s="11">
        <v>245001</v>
      </c>
      <c r="B689" s="12">
        <v>246000</v>
      </c>
      <c r="C689" s="13">
        <v>35.92</v>
      </c>
    </row>
    <row r="690" spans="1:3" x14ac:dyDescent="0.25">
      <c r="A690" s="11">
        <v>246001</v>
      </c>
      <c r="B690" s="12">
        <v>247000</v>
      </c>
      <c r="C690" s="13">
        <v>35.92</v>
      </c>
    </row>
    <row r="691" spans="1:3" x14ac:dyDescent="0.25">
      <c r="A691" s="11">
        <v>247001</v>
      </c>
      <c r="B691" s="12">
        <v>248000</v>
      </c>
      <c r="C691" s="13">
        <v>35.93</v>
      </c>
    </row>
    <row r="692" spans="1:3" x14ac:dyDescent="0.25">
      <c r="A692" s="11">
        <v>248001</v>
      </c>
      <c r="B692" s="12">
        <v>249000</v>
      </c>
      <c r="C692" s="13">
        <v>35.93</v>
      </c>
    </row>
    <row r="693" spans="1:3" x14ac:dyDescent="0.25">
      <c r="A693" s="11">
        <v>249001</v>
      </c>
      <c r="B693" s="12">
        <v>250000</v>
      </c>
      <c r="C693" s="13">
        <v>35.93</v>
      </c>
    </row>
    <row r="694" spans="1:3" x14ac:dyDescent="0.25">
      <c r="A694" s="11">
        <v>250001</v>
      </c>
      <c r="B694" s="12">
        <v>251000</v>
      </c>
      <c r="C694" s="13">
        <v>35.94</v>
      </c>
    </row>
    <row r="695" spans="1:3" x14ac:dyDescent="0.25">
      <c r="A695" s="11">
        <v>251001</v>
      </c>
      <c r="B695" s="12">
        <v>252000</v>
      </c>
      <c r="C695" s="13">
        <v>35.94</v>
      </c>
    </row>
    <row r="696" spans="1:3" x14ac:dyDescent="0.25">
      <c r="A696" s="11">
        <v>252001</v>
      </c>
      <c r="B696" s="12">
        <v>253000</v>
      </c>
      <c r="C696" s="13">
        <v>35.94</v>
      </c>
    </row>
    <row r="697" spans="1:3" x14ac:dyDescent="0.25">
      <c r="A697" s="11">
        <v>253001</v>
      </c>
      <c r="B697" s="12">
        <v>254000</v>
      </c>
      <c r="C697" s="13">
        <v>35.94</v>
      </c>
    </row>
    <row r="698" spans="1:3" x14ac:dyDescent="0.25">
      <c r="A698" s="11">
        <v>254001</v>
      </c>
      <c r="B698" s="12">
        <v>255000</v>
      </c>
      <c r="C698" s="13">
        <v>35.950000000000003</v>
      </c>
    </row>
    <row r="699" spans="1:3" x14ac:dyDescent="0.25">
      <c r="A699" s="11">
        <v>255001</v>
      </c>
      <c r="B699" s="12">
        <v>256000</v>
      </c>
      <c r="C699" s="13">
        <v>35.950000000000003</v>
      </c>
    </row>
    <row r="700" spans="1:3" x14ac:dyDescent="0.25">
      <c r="A700" s="11">
        <v>256001</v>
      </c>
      <c r="B700" s="12">
        <v>257000</v>
      </c>
      <c r="C700" s="13">
        <v>35.950000000000003</v>
      </c>
    </row>
    <row r="701" spans="1:3" x14ac:dyDescent="0.25">
      <c r="A701" s="11">
        <v>257001</v>
      </c>
      <c r="B701" s="12">
        <v>258000</v>
      </c>
      <c r="C701" s="13">
        <v>35.96</v>
      </c>
    </row>
    <row r="702" spans="1:3" x14ac:dyDescent="0.25">
      <c r="A702" s="11">
        <v>258001</v>
      </c>
      <c r="B702" s="12">
        <v>259000</v>
      </c>
      <c r="C702" s="13">
        <v>35.96</v>
      </c>
    </row>
    <row r="703" spans="1:3" x14ac:dyDescent="0.25">
      <c r="A703" s="11">
        <v>259001</v>
      </c>
      <c r="B703" s="12">
        <v>260000</v>
      </c>
      <c r="C703" s="13">
        <v>35.96</v>
      </c>
    </row>
    <row r="704" spans="1:3" x14ac:dyDescent="0.25">
      <c r="A704" s="11">
        <v>260001</v>
      </c>
      <c r="B704" s="12">
        <v>261000</v>
      </c>
      <c r="C704" s="13">
        <v>35.96</v>
      </c>
    </row>
    <row r="705" spans="1:3" x14ac:dyDescent="0.25">
      <c r="A705" s="11">
        <v>261001</v>
      </c>
      <c r="B705" s="12">
        <v>262000</v>
      </c>
      <c r="C705" s="13">
        <v>35.97</v>
      </c>
    </row>
    <row r="706" spans="1:3" x14ac:dyDescent="0.25">
      <c r="A706" s="11">
        <v>262001</v>
      </c>
      <c r="B706" s="12">
        <v>263000</v>
      </c>
      <c r="C706" s="13">
        <v>35.97</v>
      </c>
    </row>
    <row r="707" spans="1:3" x14ac:dyDescent="0.25">
      <c r="A707" s="11">
        <v>263001</v>
      </c>
      <c r="B707" s="12">
        <v>264000</v>
      </c>
      <c r="C707" s="13">
        <v>35.97</v>
      </c>
    </row>
    <row r="708" spans="1:3" x14ac:dyDescent="0.25">
      <c r="A708" s="11">
        <v>264001</v>
      </c>
      <c r="B708" s="12">
        <v>265000</v>
      </c>
      <c r="C708" s="13">
        <v>35.97</v>
      </c>
    </row>
    <row r="709" spans="1:3" x14ac:dyDescent="0.25">
      <c r="A709" s="11">
        <v>265001</v>
      </c>
      <c r="B709" s="12">
        <v>266000</v>
      </c>
      <c r="C709" s="13">
        <v>35.979999999999997</v>
      </c>
    </row>
    <row r="710" spans="1:3" x14ac:dyDescent="0.25">
      <c r="A710" s="11">
        <v>266001</v>
      </c>
      <c r="B710" s="12">
        <v>267000</v>
      </c>
      <c r="C710" s="13">
        <v>35.979999999999997</v>
      </c>
    </row>
    <row r="711" spans="1:3" x14ac:dyDescent="0.25">
      <c r="A711" s="11">
        <v>267001</v>
      </c>
      <c r="B711" s="12">
        <v>268000</v>
      </c>
      <c r="C711" s="13">
        <v>35.979999999999997</v>
      </c>
    </row>
    <row r="712" spans="1:3" x14ac:dyDescent="0.25">
      <c r="A712" s="11">
        <v>268001</v>
      </c>
      <c r="B712" s="12">
        <v>269000</v>
      </c>
      <c r="C712" s="13">
        <v>35.979999999999997</v>
      </c>
    </row>
    <row r="713" spans="1:3" x14ac:dyDescent="0.25">
      <c r="A713" s="11">
        <v>269001</v>
      </c>
      <c r="B713" s="12">
        <v>270000</v>
      </c>
      <c r="C713" s="13">
        <v>35.99</v>
      </c>
    </row>
    <row r="714" spans="1:3" x14ac:dyDescent="0.25">
      <c r="A714" s="11">
        <v>270001</v>
      </c>
      <c r="B714" s="12">
        <v>271000</v>
      </c>
      <c r="C714" s="13">
        <v>35.99</v>
      </c>
    </row>
    <row r="715" spans="1:3" x14ac:dyDescent="0.25">
      <c r="A715" s="11">
        <v>271001</v>
      </c>
      <c r="B715" s="12">
        <v>272000</v>
      </c>
      <c r="C715" s="13">
        <v>35.99</v>
      </c>
    </row>
    <row r="716" spans="1:3" x14ac:dyDescent="0.25">
      <c r="A716" s="11">
        <v>272001</v>
      </c>
      <c r="B716" s="12">
        <v>273000</v>
      </c>
      <c r="C716" s="13">
        <v>35.99</v>
      </c>
    </row>
    <row r="717" spans="1:3" x14ac:dyDescent="0.25">
      <c r="A717" s="11">
        <v>273001</v>
      </c>
      <c r="B717" s="12">
        <v>274000</v>
      </c>
      <c r="C717" s="13">
        <v>36</v>
      </c>
    </row>
    <row r="718" spans="1:3" x14ac:dyDescent="0.25">
      <c r="A718" s="11">
        <v>274001</v>
      </c>
      <c r="B718" s="12">
        <v>275000</v>
      </c>
      <c r="C718" s="13">
        <v>36</v>
      </c>
    </row>
    <row r="719" spans="1:3" x14ac:dyDescent="0.25">
      <c r="A719" s="11">
        <v>275001</v>
      </c>
      <c r="B719" s="12">
        <v>276000</v>
      </c>
      <c r="C719" s="13">
        <v>36</v>
      </c>
    </row>
    <row r="720" spans="1:3" x14ac:dyDescent="0.25">
      <c r="A720" s="11">
        <v>276001</v>
      </c>
      <c r="B720" s="12">
        <v>277000</v>
      </c>
      <c r="C720" s="13">
        <v>36</v>
      </c>
    </row>
    <row r="721" spans="1:3" x14ac:dyDescent="0.25">
      <c r="A721" s="11">
        <v>277001</v>
      </c>
      <c r="B721" s="12">
        <v>278000</v>
      </c>
      <c r="C721" s="13">
        <v>36.01</v>
      </c>
    </row>
    <row r="722" spans="1:3" x14ac:dyDescent="0.25">
      <c r="A722" s="11">
        <v>278001</v>
      </c>
      <c r="B722" s="12">
        <v>279000</v>
      </c>
      <c r="C722" s="13">
        <v>36.01</v>
      </c>
    </row>
    <row r="723" spans="1:3" x14ac:dyDescent="0.25">
      <c r="A723" s="11">
        <v>279001</v>
      </c>
      <c r="B723" s="12">
        <v>280000</v>
      </c>
      <c r="C723" s="13">
        <v>36.01</v>
      </c>
    </row>
    <row r="724" spans="1:3" x14ac:dyDescent="0.25">
      <c r="A724" s="11">
        <v>280001</v>
      </c>
      <c r="B724" s="12">
        <v>281000</v>
      </c>
      <c r="C724" s="13">
        <v>36.01</v>
      </c>
    </row>
    <row r="725" spans="1:3" x14ac:dyDescent="0.25">
      <c r="A725" s="11">
        <v>281001</v>
      </c>
      <c r="B725" s="12">
        <v>282000</v>
      </c>
      <c r="C725" s="13">
        <v>36.020000000000003</v>
      </c>
    </row>
    <row r="726" spans="1:3" x14ac:dyDescent="0.25">
      <c r="A726" s="11">
        <v>282001</v>
      </c>
      <c r="B726" s="12">
        <v>283000</v>
      </c>
      <c r="C726" s="13">
        <v>36.020000000000003</v>
      </c>
    </row>
    <row r="727" spans="1:3" x14ac:dyDescent="0.25">
      <c r="A727" s="11">
        <v>283001</v>
      </c>
      <c r="B727" s="12">
        <v>284000</v>
      </c>
      <c r="C727" s="13">
        <v>36.020000000000003</v>
      </c>
    </row>
    <row r="728" spans="1:3" x14ac:dyDescent="0.25">
      <c r="A728" s="11">
        <v>284001</v>
      </c>
      <c r="B728" s="12">
        <v>285000</v>
      </c>
      <c r="C728" s="13">
        <v>36.020000000000003</v>
      </c>
    </row>
    <row r="729" spans="1:3" x14ac:dyDescent="0.25">
      <c r="A729" s="11">
        <v>285001</v>
      </c>
      <c r="B729" s="12">
        <v>286000</v>
      </c>
      <c r="C729" s="13">
        <v>36.03</v>
      </c>
    </row>
    <row r="730" spans="1:3" x14ac:dyDescent="0.25">
      <c r="A730" s="11">
        <v>286001</v>
      </c>
      <c r="B730" s="12">
        <v>287000</v>
      </c>
      <c r="C730" s="13">
        <v>36.03</v>
      </c>
    </row>
    <row r="731" spans="1:3" x14ac:dyDescent="0.25">
      <c r="A731" s="11">
        <v>287001</v>
      </c>
      <c r="B731" s="12">
        <v>288000</v>
      </c>
      <c r="C731" s="13">
        <v>36.03</v>
      </c>
    </row>
    <row r="732" spans="1:3" x14ac:dyDescent="0.25">
      <c r="A732" s="11">
        <v>288001</v>
      </c>
      <c r="B732" s="12">
        <v>289000</v>
      </c>
      <c r="C732" s="13">
        <v>36.03</v>
      </c>
    </row>
    <row r="733" spans="1:3" x14ac:dyDescent="0.25">
      <c r="A733" s="11">
        <v>289001</v>
      </c>
      <c r="B733" s="12">
        <v>290000</v>
      </c>
      <c r="C733" s="13">
        <v>36.03</v>
      </c>
    </row>
    <row r="734" spans="1:3" x14ac:dyDescent="0.25">
      <c r="A734" s="11">
        <v>290001</v>
      </c>
      <c r="B734" s="12">
        <v>291000</v>
      </c>
      <c r="C734" s="13">
        <v>36.04</v>
      </c>
    </row>
    <row r="735" spans="1:3" x14ac:dyDescent="0.25">
      <c r="A735" s="11">
        <v>291001</v>
      </c>
      <c r="B735" s="12">
        <v>292000</v>
      </c>
      <c r="C735" s="13">
        <v>36.04</v>
      </c>
    </row>
    <row r="736" spans="1:3" x14ac:dyDescent="0.25">
      <c r="A736" s="11">
        <v>292001</v>
      </c>
      <c r="B736" s="12">
        <v>293000</v>
      </c>
      <c r="C736" s="13">
        <v>36.04</v>
      </c>
    </row>
    <row r="737" spans="1:3" x14ac:dyDescent="0.25">
      <c r="A737" s="11">
        <v>293001</v>
      </c>
      <c r="B737" s="12">
        <v>294000</v>
      </c>
      <c r="C737" s="13">
        <v>36.04</v>
      </c>
    </row>
    <row r="738" spans="1:3" x14ac:dyDescent="0.25">
      <c r="A738" s="11">
        <v>294001</v>
      </c>
      <c r="B738" s="12">
        <v>295000</v>
      </c>
      <c r="C738" s="13">
        <v>36.04</v>
      </c>
    </row>
    <row r="739" spans="1:3" x14ac:dyDescent="0.25">
      <c r="A739" s="11">
        <v>295001</v>
      </c>
      <c r="B739" s="12">
        <v>296000</v>
      </c>
      <c r="C739" s="13">
        <v>36.049999999999997</v>
      </c>
    </row>
    <row r="740" spans="1:3" x14ac:dyDescent="0.25">
      <c r="A740" s="11">
        <v>296001</v>
      </c>
      <c r="B740" s="12">
        <v>297000</v>
      </c>
      <c r="C740" s="13">
        <v>36.049999999999997</v>
      </c>
    </row>
    <row r="741" spans="1:3" x14ac:dyDescent="0.25">
      <c r="A741" s="11">
        <v>297001</v>
      </c>
      <c r="B741" s="12">
        <v>298000</v>
      </c>
      <c r="C741" s="13">
        <v>36.049999999999997</v>
      </c>
    </row>
    <row r="742" spans="1:3" x14ac:dyDescent="0.25">
      <c r="A742" s="11">
        <v>298001</v>
      </c>
      <c r="B742" s="12">
        <v>299000</v>
      </c>
      <c r="C742" s="13">
        <v>36.049999999999997</v>
      </c>
    </row>
    <row r="743" spans="1:3" ht="15.75" thickBot="1" x14ac:dyDescent="0.3">
      <c r="A743" s="14">
        <v>299001</v>
      </c>
      <c r="B743" s="15">
        <v>300000</v>
      </c>
      <c r="C743" s="16">
        <v>36.049999999999997</v>
      </c>
    </row>
    <row r="744" spans="1: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F182-E1C7-4364-BFCC-24B591E97A62}">
  <dimension ref="A1:B3"/>
  <sheetViews>
    <sheetView workbookViewId="0">
      <selection activeCell="D12" sqref="D11:D12"/>
    </sheetView>
  </sheetViews>
  <sheetFormatPr baseColWidth="10" defaultRowHeight="15" x14ac:dyDescent="0.25"/>
  <sheetData>
    <row r="1" spans="1:2" x14ac:dyDescent="0.25">
      <c r="A1">
        <v>3001</v>
      </c>
      <c r="B1">
        <v>4000</v>
      </c>
    </row>
    <row r="2" spans="1:2" x14ac:dyDescent="0.25">
      <c r="A2">
        <v>4001</v>
      </c>
      <c r="B2">
        <v>5000</v>
      </c>
    </row>
    <row r="3" spans="1:2" x14ac:dyDescent="0.25">
      <c r="A3">
        <v>5001</v>
      </c>
      <c r="B3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 Renoux</dc:creator>
  <cp:lastModifiedBy>Malo Renoux</cp:lastModifiedBy>
  <dcterms:created xsi:type="dcterms:W3CDTF">2015-06-05T18:19:34Z</dcterms:created>
  <dcterms:modified xsi:type="dcterms:W3CDTF">2025-11-26T14:35:32Z</dcterms:modified>
</cp:coreProperties>
</file>